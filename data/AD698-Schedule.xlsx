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650E386C-DBBF-4DF3-A076-456BB8BBD2D4}" xr6:coauthVersionLast="47" xr6:coauthVersionMax="47" xr10:uidLastSave="{00000000-0000-0000-0000-000000000000}"/>
  <bookViews>
    <workbookView xWindow="-120" yWindow="-120" windowWidth="29040" windowHeight="15720" activeTab="8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  <sheet name="Readings" sheetId="9" r:id="rId8"/>
    <sheet name="Course Details (2)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<sst xmlns="http://schemas.openxmlformats.org/spreadsheetml/2006/main" count="498" uniqueCount="281">
  <si>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</si>
  <si>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</si>
  <si>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</si>
  <si>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</si>
  <si>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</si>
  <si>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</si>
  <si>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</si>
  <si>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</si>
  <si>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</si>
  <si>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</si>
  <si>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</si>
  <si>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</si>
  <si>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</si>
  <si>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</si>
  <si>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</si>
  <si>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</si>
  <si>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</si>
  <si>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</si>
  <si>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</si>
  <si>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</si>
  <si>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</si>
  <si>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</si>
  <si>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</si>
  <si>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</si>
  <si>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</si>
  <si>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</si>
  <si>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</si>
  <si>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</si>
  <si>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</si>
  <si>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</si>
  <si>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</si>
  <si>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</si>
  <si>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</si>
  <si>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</si>
  <si>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</si>
  <si>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</si>
  <si>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</si>
  <si>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</si>
  <si>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</si>
  <si>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</si>
  <si>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</si>
  <si>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</si>
  <si>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</si>
  <si>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</si>
  <si>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</si>
  <si>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</si>
  <si>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</si>
  <si>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</si>
  <si>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</si>
  <si>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</si>
  <si>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</si>
  <si>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</si>
  <si>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</si>
  <si>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</si>
  <si>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</si>
  <si>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</si>
  <si>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</si>
  <si>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</si>
  <si>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</si>
  <si>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</si>
  <si>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</si>
  <si>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</si>
  <si>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</si>
  <si>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</si>
  <si>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</si>
  <si>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</si>
  <si>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</si>
  <si>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</si>
  <si>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</si>
  <si>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</si>
  <si>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</si>
  <si>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</si>
  <si>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</si>
  <si>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</si>
  <si>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</si>
  <si>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</si>
  <si>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</si>
  <si>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</si>
  <si>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</si>
  <si>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</si>
  <si>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</si>
  <si>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</si>
  <si>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</si>
  <si>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</si>
  <si>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Tue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</si>
  <si>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</si>
  <si>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</si>
  <si>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</si>
  <si>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</si>
  <si>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</si>
  <si>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</si>
  <si>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</si>
  <si>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</si>
  <si>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</si>
  <si>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</si>
  <si>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</si>
  <si>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</si>
  <si>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</si>
  <si>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</si>
  <si>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</si>
  <si>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</si>
  <si>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</si>
  <si>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</si>
  <si>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</si>
  <si>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</si>
  <si>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</si>
  <si>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</si>
  <si>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</si>
  <si>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</si>
  <si>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</si>
  <si>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</si>
  <si>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</si>
  <si>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</si>
  <si>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</si>
  <si>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</si>
  <si>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</si>
  <si>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</si>
  <si>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</si>
  <si>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</si>
  <si>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</si>
  <si>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</si>
  <si>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</si>
  <si>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</si>
  <si>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</si>
  <si>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</si>
  <si>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</si>
  <si>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</si>
  <si>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</si>
  <si>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</si>
  <si>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</si>
  <si>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</si>
  <si>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</si>
  <si>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</si>
  <si>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</si>
  <si>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</si>
  <si>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</si>
  <si>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</si>
  <si>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</si>
  <si>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</si>
  <si>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</si>
  <si>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</si>
  <si>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</si>
  <si>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</si>
  <si>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</si>
  <si>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</si>
  <si>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</si>
  <si>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</si>
  <si>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</si>
  <si>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</si>
  <si>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</si>
  <si>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</si>
  <si>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</si>
  <si>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</si>
  <si>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</si>
  <si>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</si>
  <si>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</si>
  <si>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</si>
  <si>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</si>
  <si>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</si>
  <si>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</si>
  <si>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</si>
  <si>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</si>
  <si>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</si>
  <si>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</si>
  <si>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</si>
  <si>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</si>
  <si>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</si>
  <si>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</si>
  <si>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</si>
  <si>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</si>
  <si>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</si>
  <si>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</si>
  <si>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</si>
  <si>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</si>
  <si>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</si>
  <si>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</si>
  <si>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</si>
  <si>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</si>
  <si>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</si>
  <si>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</si>
  <si>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</si>
  <si>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</si>
  <si>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</si>
  <si>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</si>
  <si>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</si>
  <si>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</si>
  <si>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</si>
  <si>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</si>
  <si>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</si>
  <si>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</si>
  <si>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</si>
  <si>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</si>
  <si>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</si>
  <si>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</si>
  <si>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</si>
  <si>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</si>
  <si>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Mathematical Foundations Through Language Modeling</t>
  </si>
  <si>
    <t>From Words to Structured Text</t>
  </si>
  <si>
    <t>Prompting as System Design</t>
  </si>
  <si>
    <t>Training Paradigms and Fine-Tuning Pipelines</t>
  </si>
  <si>
    <t>Multimodal Generative Models and Structured Data</t>
  </si>
  <si>
    <t>Evaluating Generative AI Systems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</si>
  <si>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</si>
  <si>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</si>
  <si>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</si>
  <si>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</si>
  <si>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</si>
  <si>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</si>
  <si>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</si>
  <si>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</si>
  <si>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</si>
  <si>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Group Paper Presentation (Once per Group)*</t>
  </si>
  <si>
    <t>Week</t>
  </si>
  <si>
    <t>Course Orientation and Reproducible GenAI Setup</t>
  </si>
  <si>
    <t>Language Probability and Generative Systems</t>
  </si>
  <si>
    <t>Why language is probabilistic; prediction as generation; uncertainty in text; NLP as the foundation of GenAI.</t>
  </si>
  <si>
    <t>Vectors as meaning; probability and conditional likelihood; loss functions; entropy and perplexity introduced through language modeling.</t>
  </si>
  <si>
    <t>Foundations of text representation; tokenization and normalization; n-grams; static versus contextual representations; document structure awareness.</t>
  </si>
  <si>
    <t>Prompt engineering as probabilistic control; zero and few-shot learning; in-context learning; common failure modes.</t>
  </si>
  <si>
    <t>Tokenization Embeddings and Semantic Geometry</t>
  </si>
  <si>
    <t>Subword tokenization; embedding spaces; cosine similarity; semantic neighborhoods; semantic drift.</t>
  </si>
  <si>
    <t>Transformers Attention and Context</t>
  </si>
  <si>
    <t>Self-attention; positional encoding; scaling intuition; why transformers replaced RNNs and LSTMs.</t>
  </si>
  <si>
    <t>Pretraining versus fine-tuning; instruction tuning; dataset formatting; overfitting and data leakage risks.</t>
  </si>
  <si>
    <t>Retrieval Augmented Generation Concepts</t>
  </si>
  <si>
    <t>Chunking and indexing; embedding-based retrieval; grounding strategies; hallucination risks.</t>
  </si>
  <si>
    <t>Designing Retrieval-Augmented Pipelines</t>
  </si>
  <si>
    <t>End-to-end retrieval-augmented workflows; query design; citation tracing; system limitations.</t>
  </si>
  <si>
    <t>Efficient Adaptation LoRA QLoRA and PEFT</t>
  </si>
  <si>
    <t>Parameter-efficient fine-tuning; tradeoffs between prompting retrieval and adaptation; cost governance.</t>
  </si>
  <si>
    <t>Semantic Search Clustering and Change Detection</t>
  </si>
  <si>
    <t>Embedding-based clustering; similarity search; longitudinal semantic analysis across document collections.</t>
  </si>
  <si>
    <t>Context Windows Memory and Compression</t>
  </si>
  <si>
    <t>Context limits; summarization; caching; memory strategies for long documents.</t>
  </si>
  <si>
    <t>Vision-language models; multimodal inputs; tables figures and structured representations; enterprise use cases.</t>
  </si>
  <si>
    <t>Human evaluation rubrics; LLM-as-a-judge; grounding checks; reproducibility and auditability.</t>
  </si>
  <si>
    <t>Responsible and Governed GenAI</t>
  </si>
  <si>
    <t>Bias fairness and ethics; accountability; governance frameworks; limits of automation.</t>
  </si>
  <si>
    <t>Course overview; GenAI system framing; AI disclosure files and accountability.</t>
  </si>
  <si>
    <t>Module Name</t>
  </si>
  <si>
    <t>Technology Stack Preparation</t>
  </si>
  <si>
    <t>Language Probability and Representation</t>
  </si>
  <si>
    <t>Meaning and Structured Text</t>
  </si>
  <si>
    <t>Prompting and Semantic Geometry</t>
  </si>
  <si>
    <t>Model Architectures</t>
  </si>
  <si>
    <t>Retrieval and Grounded Generation</t>
  </si>
  <si>
    <t>Adaptation and Insight</t>
  </si>
  <si>
    <t>Context and Multimodality</t>
  </si>
  <si>
    <t>Evaluation and Governance</t>
  </si>
  <si>
    <t>Raymond (1999) The Cathedral and the Bazaar; Wilson et al. (2014) Best Practices for Scientific Computing; Peng (2011) Reproducible Research in Computational Science</t>
  </si>
  <si>
    <t>Stodden et al. (2016) Computational Reproducibility; Knuth (1984) Literate Programming; Stodden et al. (2014) The Practice of Reproducible Research</t>
  </si>
  <si>
    <t>Bender et al. (2021) Stochastic Parrots; OpenAI (2023) Sparks of AGI; Vaswani et al. (2017) Attention Is All You Need</t>
  </si>
  <si>
    <t>Bengio et al. (2003) Neural Probabilistic Language Models; Firth (1957) Distributional Hypothesis; Survey of Large Language Models</t>
  </si>
  <si>
    <t>Mikolov et al. (2013) Distributed Representations; Turney and Pantel (2010) Vector Space Models of Semantics; Bengio et al. (2003) Neural Language Models</t>
  </si>
  <si>
    <t>Gentzkow Kelly Taddy (2019) Text as Data; Collobert et al. (2011) NLP from Scratch; Kogan et al. (2019) Information Extraction from Business Text</t>
  </si>
  <si>
    <t>The Prompt Report; Wei et al. (2022) Chain-of-Thought Prompting; DSPy Framework Paper</t>
  </si>
  <si>
    <t>Mikolov et al. (2013) Word2Vec; Reimers and Gurevych (2019) Sentence-BERT; Survey of Embedding Models</t>
  </si>
  <si>
    <t>Vaswani et al. (2017) Attention Is All You Need; Alammar Illustrated Transformer; Kaplan et al. (2020) Scaling Laws</t>
  </si>
  <si>
    <t>Ouyang et al. (2022) Training Language Models with Human Feedback; Instruction Tuning with GPT-4; Survey of Fine-Tuning Methods</t>
  </si>
  <si>
    <t>Lewis et al. (2020) Retrieval-Augmented Generation; Seven Failure Points in RAG; Self-RAG</t>
  </si>
  <si>
    <t>HybridRAG; Corrective RAG; Text2SQL Is Not Enough</t>
  </si>
  <si>
    <t>Hu et al. (2021) LoRA; Dettmers et al. (2023) QLoRA; Survey on Small Language Models</t>
  </si>
  <si>
    <t>Blei and Lafferty (2006) Dynamic Topic Models; Embedding-Based Document Clustering Survey; Semantic Change Detection in Text</t>
  </si>
  <si>
    <t>Liu et al. (2023) Context Window Evaluation; LongNet; LazyLLM</t>
  </si>
  <si>
    <t>OpenAI GPT-4V Report; Segment Anything; Multimodal Chain-of-Thought Reasoning</t>
  </si>
  <si>
    <t>Evaluating Large Language Models Survey; LLM-as-a-Judge Survey; Chain-of-Verification</t>
  </si>
  <si>
    <t>Bender et al. (2021) Stochastic Parrots; Survey on Hallucination in LLMs; Responsible AI for Enterprise Systems</t>
  </si>
  <si>
    <t>Google Colab &amp; Execution Environment Setup with technical orientation</t>
  </si>
  <si>
    <t>Google Colab setup; notebook fundamentals; Python runtime basics; managing files, sessions, and outputs; running, saving, exporting, and submitting notebooks.</t>
  </si>
  <si>
    <t>Optional GitHub Classroom &amp; Version Control Basics 	Optional GitHub account setup</t>
  </si>
  <si>
    <t>GitHub Classroom workflow; cloning and opening notebooks in Colab; basic version control concepts (commit, push, pull); when and why GitHub is used in applied GenAI work.</t>
  </si>
  <si>
    <t>L0.3</t>
  </si>
  <si>
    <t>Overview of GenAI technical stack, GenAI Tooling, APIs, and Responsible Usage Foundations.</t>
  </si>
  <si>
    <t>LLM APIs (OpenAI, Gemini, Anthropic); prompt execution vs programmatic calls; API keys and secrets management; cost awareness; responsible and accountable GenAI usage.</t>
  </si>
  <si>
    <t>Colab + GPU + Tensors</t>
  </si>
  <si>
    <t>Compute setup, tensors, GPU execution</t>
  </si>
  <si>
    <t>NN, loss, gradients, training loop</t>
  </si>
  <si>
    <t>Sequence Learning Problem</t>
  </si>
  <si>
    <t>Temporal modeling, intro to sequences</t>
  </si>
  <si>
    <t>Agentic Systems</t>
  </si>
  <si>
    <t>Math for Neural Networks, Regression and Classification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</si>
</sst>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G19"/>
  <sheetViews>
    <sheetView workbookViewId="0">
      <selection activeCell="E9" sqref="E9"/>
    </sheetView>
  </sheetViews>
  <sheetFormatPr defaultColWidth="9.140625" defaultRowHeight="15" x14ac:dyDescent="0.25"/>
  <cols>
    <col min="1" max="1" width="9" style="4" bestFit="1" customWidth="1"/>
    <col min="2" max="2" width="28" style="4" customWidth="1"/>
    <col min="3" max="3" width="8" style="4" bestFit="1" customWidth="1"/>
    <col min="4" max="4" width="65.28515625" style="4" bestFit="1" customWidth="1"/>
    <col min="5" max="5" width="88" style="60" bestFit="1" customWidth="1"/>
    <col min="6" max="6" width="7.140625" style="4" bestFit="1" customWidth="1"/>
    <col min="7" max="7" width="12.140625" style="4" bestFit="1" customWidth="1"/>
    <col min="8" max="16384" width="9.140625" style="4"/>
  </cols>
  <sheetData>
    <row r="1" spans="1:7" x14ac:dyDescent="0.25">
      <c r="A1" s="56" t="s">
        <v>167</v>
      </c>
      <c r="B1" s="60" t="s">
        <v>239</v>
      </c>
      <c r="C1" s="56" t="s">
        <v>5</v>
      </c>
      <c r="D1" s="57" t="s">
        <v>78</v>
      </c>
      <c r="E1" s="57" t="s">
        <v>76</v>
      </c>
      <c r="F1" s="3" t="s">
        <v>168</v>
      </c>
      <c r="G1" s="3" t="s">
        <v>171</v>
      </c>
    </row>
    <row r="2" spans="1:7" ht="30" x14ac:dyDescent="0.25">
      <c r="A2" s="4" t="s">
        <v>202</v>
      </c>
      <c r="B2" s="60" t="s">
        <v>240</v>
      </c>
      <c r="C2" s="4" t="s">
        <v>172</v>
      </c>
      <c r="D2" s="60" t="s">
        <v>274</v>
      </c>
      <c r="E2" s="60" t="s">
        <v>275</v>
      </c>
      <c r="F2" s="58"/>
      <c r="G2" s="58"/>
    </row>
    <row r="3" spans="1:7" ht="30" x14ac:dyDescent="0.25">
      <c r="A3" s="4" t="s">
        <v>202</v>
      </c>
      <c r="B3" s="60" t="s">
        <v>240</v>
      </c>
      <c r="C3" s="4" t="s">
        <v>173</v>
      </c>
      <c r="D3" s="60" t="s">
        <v>280</v>
      </c>
      <c r="E3" s="60" t="s">
        <v>276</v>
      </c>
      <c r="F3" s="58"/>
      <c r="G3" s="58"/>
    </row>
    <row r="4" spans="1:7" ht="30" x14ac:dyDescent="0.25">
      <c r="A4" s="4" t="s">
        <v>202</v>
      </c>
      <c r="B4" s="60" t="s">
        <v>240</v>
      </c>
      <c r="C4" s="4" t="s">
        <v>271</v>
      </c>
      <c r="D4" s="60" t="s">
        <v>277</v>
      </c>
      <c r="E4" s="60" t="s">
        <v>278</v>
      </c>
      <c r="F4" s="58"/>
      <c r="G4" s="58"/>
    </row>
    <row r="5" spans="1:7" ht="30" x14ac:dyDescent="0.25">
      <c r="A5" s="4" t="s">
        <v>203</v>
      </c>
      <c r="B5" s="60" t="s">
        <v>241</v>
      </c>
      <c r="C5" s="4" t="s">
        <v>174</v>
      </c>
      <c r="D5" s="60" t="s">
        <v>213</v>
      </c>
      <c r="E5" s="60" t="s">
        <v>238</v>
      </c>
      <c r="F5" s="58"/>
      <c r="G5" s="58"/>
    </row>
    <row r="6" spans="1:7" ht="30" x14ac:dyDescent="0.25">
      <c r="A6" s="4" t="s">
        <v>203</v>
      </c>
      <c r="B6" s="60" t="s">
        <v>241</v>
      </c>
      <c r="C6" s="4" t="s">
        <v>175</v>
      </c>
      <c r="D6" s="60" t="s">
        <v>214</v>
      </c>
      <c r="E6" s="60" t="s">
        <v>215</v>
      </c>
      <c r="F6" s="58"/>
      <c r="G6" s="58"/>
    </row>
    <row r="7" spans="1:7" ht="30" x14ac:dyDescent="0.25">
      <c r="A7" s="4" t="s">
        <v>204</v>
      </c>
      <c r="B7" s="60" t="s">
        <v>242</v>
      </c>
      <c r="C7" s="4" t="s">
        <v>176</v>
      </c>
      <c r="D7" s="60" t="s">
        <v>196</v>
      </c>
      <c r="E7" s="60" t="s">
        <v>216</v>
      </c>
      <c r="F7" s="58"/>
      <c r="G7" s="58"/>
    </row>
    <row r="8" spans="1:7" ht="30" x14ac:dyDescent="0.25">
      <c r="A8" s="4" t="s">
        <v>204</v>
      </c>
      <c r="B8" s="60" t="s">
        <v>242</v>
      </c>
      <c r="C8" s="4" t="s">
        <v>177</v>
      </c>
      <c r="D8" s="60" t="s">
        <v>197</v>
      </c>
      <c r="E8" s="60" t="s">
        <v>217</v>
      </c>
      <c r="F8" s="58"/>
      <c r="G8" s="58"/>
    </row>
    <row r="9" spans="1:7" ht="30" x14ac:dyDescent="0.25">
      <c r="A9" s="4" t="s">
        <v>205</v>
      </c>
      <c r="B9" s="60" t="s">
        <v>243</v>
      </c>
      <c r="C9" s="4" t="s">
        <v>178</v>
      </c>
      <c r="D9" s="60" t="s">
        <v>198</v>
      </c>
      <c r="E9" s="60" t="s">
        <v>218</v>
      </c>
      <c r="F9" s="58"/>
      <c r="G9" s="58"/>
    </row>
    <row r="10" spans="1:7" ht="30" x14ac:dyDescent="0.25">
      <c r="A10" s="4" t="s">
        <v>205</v>
      </c>
      <c r="B10" s="60" t="s">
        <v>243</v>
      </c>
      <c r="C10" s="4" t="s">
        <v>179</v>
      </c>
      <c r="D10" s="60" t="s">
        <v>219</v>
      </c>
      <c r="E10" s="60" t="s">
        <v>220</v>
      </c>
      <c r="F10" s="58"/>
      <c r="G10" s="58"/>
    </row>
    <row r="11" spans="1:7" ht="30" x14ac:dyDescent="0.25">
      <c r="A11" s="4" t="s">
        <v>206</v>
      </c>
      <c r="B11" s="60" t="s">
        <v>244</v>
      </c>
      <c r="C11" s="4" t="s">
        <v>180</v>
      </c>
      <c r="D11" s="60" t="s">
        <v>221</v>
      </c>
      <c r="E11" s="60" t="s">
        <v>222</v>
      </c>
      <c r="F11" s="58"/>
      <c r="G11" s="58"/>
    </row>
    <row r="12" spans="1:7" ht="30" x14ac:dyDescent="0.25">
      <c r="A12" s="4" t="s">
        <v>206</v>
      </c>
      <c r="B12" s="60" t="s">
        <v>244</v>
      </c>
      <c r="C12" s="4" t="s">
        <v>181</v>
      </c>
      <c r="D12" s="60" t="s">
        <v>199</v>
      </c>
      <c r="E12" s="60" t="s">
        <v>223</v>
      </c>
      <c r="F12" s="58"/>
      <c r="G12" s="58"/>
    </row>
    <row r="13" spans="1:7" ht="30" x14ac:dyDescent="0.25">
      <c r="A13" s="4" t="s">
        <v>207</v>
      </c>
      <c r="B13" s="60" t="s">
        <v>245</v>
      </c>
      <c r="C13" s="4" t="s">
        <v>182</v>
      </c>
      <c r="D13" s="60" t="s">
        <v>224</v>
      </c>
      <c r="E13" s="60" t="s">
        <v>225</v>
      </c>
      <c r="F13" s="58"/>
    </row>
    <row r="14" spans="1:7" ht="30" x14ac:dyDescent="0.25">
      <c r="A14" s="4" t="s">
        <v>207</v>
      </c>
      <c r="B14" s="60" t="s">
        <v>245</v>
      </c>
      <c r="C14" s="4" t="s">
        <v>183</v>
      </c>
      <c r="D14" s="60" t="s">
        <v>226</v>
      </c>
      <c r="E14" s="60" t="s">
        <v>227</v>
      </c>
      <c r="F14" s="58"/>
    </row>
    <row r="15" spans="1:7" ht="30" x14ac:dyDescent="0.25">
      <c r="A15" s="4" t="s">
        <v>208</v>
      </c>
      <c r="B15" s="60" t="s">
        <v>279</v>
      </c>
      <c r="C15" s="4" t="s">
        <v>184</v>
      </c>
      <c r="D15" s="60" t="s">
        <v>228</v>
      </c>
      <c r="E15" s="60" t="s">
        <v>229</v>
      </c>
      <c r="F15" s="58"/>
    </row>
    <row r="16" spans="1:7" ht="30" x14ac:dyDescent="0.25">
      <c r="A16" s="4" t="s">
        <v>208</v>
      </c>
      <c r="B16" s="60" t="s">
        <v>279</v>
      </c>
      <c r="C16" s="4" t="s">
        <v>185</v>
      </c>
      <c r="D16" s="60" t="s">
        <v>230</v>
      </c>
      <c r="E16" s="60" t="s">
        <v>231</v>
      </c>
      <c r="F16" s="58"/>
    </row>
    <row r="17" spans="1:6" ht="30" x14ac:dyDescent="0.25">
      <c r="A17" s="4" t="s">
        <v>209</v>
      </c>
      <c r="B17" s="60" t="s">
        <v>248</v>
      </c>
      <c r="C17" s="4" t="s">
        <v>186</v>
      </c>
      <c r="D17" s="60" t="s">
        <v>201</v>
      </c>
      <c r="E17" s="60" t="s">
        <v>235</v>
      </c>
      <c r="F17" s="58"/>
    </row>
    <row r="18" spans="1:6" x14ac:dyDescent="0.25">
      <c r="A18" s="4" t="s">
        <v>209</v>
      </c>
      <c r="B18" s="60" t="s">
        <v>248</v>
      </c>
      <c r="C18" s="4" t="s">
        <v>187</v>
      </c>
      <c r="D18" s="60" t="s">
        <v>236</v>
      </c>
      <c r="E18" s="60" t="s">
        <v>237</v>
      </c>
      <c r="F18" s="58"/>
    </row>
    <row r="19" spans="1:6" x14ac:dyDescent="0.25">
      <c r="F19" s="58"/>
    </row>
  </sheetData>
  <phoneticPr fontId="1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2"/>
  <sheetViews>
    <sheetView workbookViewId="0">
      <selection activeCell="F13" sqref="F13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165</v>
      </c>
      <c r="C2" s="4" t="s">
        <v>83</v>
      </c>
      <c r="D2" s="3" t="s">
        <v>84</v>
      </c>
      <c r="E2" s="55" t="s">
        <v>190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D30" sqref="D30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85</v>
      </c>
      <c r="B1" s="7" t="s">
        <v>86</v>
      </c>
      <c r="C1" s="7" t="s">
        <v>87</v>
      </c>
      <c r="E1" s="8" t="s">
        <v>88</v>
      </c>
      <c r="F1" s="7" t="s">
        <v>89</v>
      </c>
      <c r="G1" s="7" t="s">
        <v>90</v>
      </c>
      <c r="H1" s="7" t="s">
        <v>91</v>
      </c>
    </row>
    <row r="2" spans="1:8" x14ac:dyDescent="0.25">
      <c r="A2" t="s">
        <v>92</v>
      </c>
      <c r="B2" s="9">
        <f>F2</f>
        <v>1</v>
      </c>
      <c r="C2" s="9">
        <f>H2</f>
        <v>100</v>
      </c>
      <c r="E2" s="8" t="s">
        <v>170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191</v>
      </c>
      <c r="B3" s="7">
        <v>1</v>
      </c>
      <c r="C3" s="7">
        <v>50</v>
      </c>
      <c r="E3" s="8" t="s">
        <v>211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93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95</v>
      </c>
      <c r="B5" s="9">
        <f>SUM(F6:F9)</f>
        <v>4</v>
      </c>
      <c r="C5" s="9">
        <f>H5+H10+H11</f>
        <v>150</v>
      </c>
      <c r="E5" s="8" t="s">
        <v>166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98</v>
      </c>
      <c r="C6" s="9">
        <f>SUM(C2:C5)</f>
        <v>500</v>
      </c>
      <c r="E6" s="11" t="s">
        <v>192</v>
      </c>
      <c r="F6" s="9">
        <v>1</v>
      </c>
      <c r="G6" s="9"/>
      <c r="H6" s="10"/>
    </row>
    <row r="7" spans="1:8" x14ac:dyDescent="0.25">
      <c r="E7" s="11" t="s">
        <v>193</v>
      </c>
      <c r="F7" s="9">
        <v>1</v>
      </c>
      <c r="G7" s="9"/>
      <c r="H7" s="10"/>
    </row>
    <row r="8" spans="1:8" x14ac:dyDescent="0.25">
      <c r="E8" s="11" t="s">
        <v>194</v>
      </c>
      <c r="F8" s="9">
        <v>1</v>
      </c>
      <c r="G8" s="9"/>
      <c r="H8" s="10"/>
    </row>
    <row r="9" spans="1:8" x14ac:dyDescent="0.25">
      <c r="E9" s="11" t="s">
        <v>195</v>
      </c>
      <c r="F9" s="9">
        <v>1</v>
      </c>
      <c r="G9" s="9"/>
      <c r="H9" s="10"/>
    </row>
    <row r="10" spans="1:8" x14ac:dyDescent="0.25">
      <c r="E10" t="s">
        <v>96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97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98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99</v>
      </c>
      <c r="C1" s="13" t="s">
        <v>100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 t="shared" ref="A3:A8" si="0">A2+1</f>
        <v>45679</v>
      </c>
      <c r="B3" s="14">
        <f t="shared" ref="B3:C8" si="1">B2+1</f>
        <v>45681</v>
      </c>
      <c r="C3" s="14">
        <f t="shared" si="1"/>
        <v>45680</v>
      </c>
    </row>
    <row r="4" spans="1:3" x14ac:dyDescent="0.25">
      <c r="A4" s="14">
        <f t="shared" si="0"/>
        <v>45680</v>
      </c>
      <c r="B4" s="14">
        <f t="shared" si="1"/>
        <v>45682</v>
      </c>
      <c r="C4" s="14">
        <f t="shared" si="1"/>
        <v>45681</v>
      </c>
    </row>
    <row r="5" spans="1:3" x14ac:dyDescent="0.25">
      <c r="A5" s="14">
        <f t="shared" si="0"/>
        <v>45681</v>
      </c>
      <c r="B5" s="14">
        <f t="shared" si="1"/>
        <v>45683</v>
      </c>
      <c r="C5" s="14">
        <f t="shared" si="1"/>
        <v>45682</v>
      </c>
    </row>
    <row r="6" spans="1:3" x14ac:dyDescent="0.25">
      <c r="A6" s="14">
        <f t="shared" si="0"/>
        <v>45682</v>
      </c>
      <c r="B6" s="14">
        <f t="shared" si="1"/>
        <v>45684</v>
      </c>
      <c r="C6" s="14">
        <f t="shared" si="1"/>
        <v>45683</v>
      </c>
    </row>
    <row r="7" spans="1:3" x14ac:dyDescent="0.25">
      <c r="A7" s="14">
        <f t="shared" si="0"/>
        <v>45683</v>
      </c>
      <c r="B7" s="14">
        <f t="shared" si="1"/>
        <v>45685</v>
      </c>
      <c r="C7" s="14">
        <f t="shared" si="1"/>
        <v>45684</v>
      </c>
    </row>
    <row r="8" spans="1:3" x14ac:dyDescent="0.25">
      <c r="A8" s="14">
        <f t="shared" si="0"/>
        <v>45684</v>
      </c>
      <c r="B8" s="14">
        <f t="shared" si="1"/>
        <v>45686</v>
      </c>
      <c r="C8" s="14">
        <f t="shared" si="1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101</v>
      </c>
      <c r="B1" s="16" t="s">
        <v>102</v>
      </c>
      <c r="C1" s="16" t="s">
        <v>103</v>
      </c>
      <c r="D1" s="15" t="s">
        <v>104</v>
      </c>
      <c r="E1" s="15" t="s">
        <v>105</v>
      </c>
      <c r="F1" s="15" t="s">
        <v>81</v>
      </c>
      <c r="G1" s="17" t="s">
        <v>106</v>
      </c>
      <c r="H1" s="18" t="s">
        <v>107</v>
      </c>
      <c r="I1" s="18" t="s">
        <v>108</v>
      </c>
      <c r="J1" s="18" t="s">
        <v>109</v>
      </c>
      <c r="K1" s="18" t="s">
        <v>110</v>
      </c>
      <c r="L1" s="18" t="s">
        <v>111</v>
      </c>
      <c r="M1" s="18" t="s">
        <v>112</v>
      </c>
      <c r="N1" s="18" t="s">
        <v>113</v>
      </c>
      <c r="O1" s="18" t="s">
        <v>114</v>
      </c>
      <c r="P1" s="18" t="s">
        <v>115</v>
      </c>
      <c r="Q1" s="18" t="s">
        <v>116</v>
      </c>
      <c r="R1" s="18" t="s">
        <v>117</v>
      </c>
      <c r="S1" s="18" t="s">
        <v>118</v>
      </c>
      <c r="T1" s="19" t="s">
        <v>119</v>
      </c>
    </row>
    <row r="2" spans="1:20" x14ac:dyDescent="0.25">
      <c r="A2" s="20" t="s">
        <v>120</v>
      </c>
      <c r="B2" s="20" t="s">
        <v>121</v>
      </c>
      <c r="C2" s="20" t="s">
        <v>122</v>
      </c>
      <c r="D2" s="21" t="s">
        <v>123</v>
      </c>
      <c r="E2" s="22" t="s">
        <v>124</v>
      </c>
      <c r="F2" s="23">
        <v>0.60416666666666663</v>
      </c>
      <c r="G2" s="24">
        <v>45908</v>
      </c>
      <c r="H2" s="24">
        <f t="shared" ref="H2:J3" si="0">G2+7</f>
        <v>45915</v>
      </c>
      <c r="I2" s="24">
        <f t="shared" si="0"/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125</v>
      </c>
      <c r="B3" s="20" t="s">
        <v>121</v>
      </c>
      <c r="C3" s="20" t="s">
        <v>122</v>
      </c>
      <c r="D3" s="21" t="s">
        <v>123</v>
      </c>
      <c r="E3" s="22" t="s">
        <v>126</v>
      </c>
      <c r="F3" s="25">
        <v>0.79166666666666663</v>
      </c>
      <c r="G3" s="24">
        <v>45902</v>
      </c>
      <c r="H3" s="24">
        <f t="shared" si="0"/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127</v>
      </c>
      <c r="B1" s="27" t="s">
        <v>128</v>
      </c>
      <c r="C1" s="28" t="s">
        <v>105</v>
      </c>
      <c r="D1" s="18" t="s">
        <v>129</v>
      </c>
      <c r="E1" s="18" t="s">
        <v>130</v>
      </c>
      <c r="F1" s="18" t="s">
        <v>131</v>
      </c>
      <c r="G1" s="18" t="s">
        <v>132</v>
      </c>
      <c r="H1" s="18" t="s">
        <v>133</v>
      </c>
      <c r="I1" s="18" t="s">
        <v>134</v>
      </c>
      <c r="J1" s="18" t="s">
        <v>135</v>
      </c>
      <c r="K1" s="18" t="s">
        <v>136</v>
      </c>
      <c r="L1" s="18" t="s">
        <v>137</v>
      </c>
      <c r="M1" s="18" t="s">
        <v>138</v>
      </c>
      <c r="N1" s="18" t="s">
        <v>139</v>
      </c>
      <c r="O1" s="18" t="s">
        <v>140</v>
      </c>
      <c r="P1" s="18" t="s">
        <v>141</v>
      </c>
      <c r="Q1" s="19" t="s">
        <v>142</v>
      </c>
    </row>
    <row r="2" spans="1:17" x14ac:dyDescent="0.25">
      <c r="A2" s="30" t="s">
        <v>82</v>
      </c>
      <c r="B2" s="31" t="s">
        <v>94</v>
      </c>
      <c r="C2" s="32" t="s">
        <v>126</v>
      </c>
      <c r="D2" s="33" t="s">
        <v>143</v>
      </c>
      <c r="E2" s="33" t="s">
        <v>144</v>
      </c>
      <c r="F2" s="33" t="s">
        <v>145</v>
      </c>
      <c r="G2" s="33" t="s">
        <v>146</v>
      </c>
      <c r="H2" s="33"/>
      <c r="I2" s="33" t="s">
        <v>147</v>
      </c>
      <c r="J2" s="33" t="s">
        <v>148</v>
      </c>
      <c r="K2" s="33" t="s">
        <v>149</v>
      </c>
      <c r="L2" s="33"/>
      <c r="M2" s="33" t="s">
        <v>150</v>
      </c>
      <c r="N2" s="33"/>
      <c r="O2" s="33"/>
      <c r="P2" s="33"/>
      <c r="Q2" s="34"/>
    </row>
    <row r="3" spans="1:17" x14ac:dyDescent="0.25">
      <c r="A3" s="30" t="s">
        <v>99</v>
      </c>
      <c r="B3" s="31" t="s">
        <v>94</v>
      </c>
      <c r="C3" s="32" t="s">
        <v>151</v>
      </c>
      <c r="D3" s="35" t="s">
        <v>143</v>
      </c>
      <c r="E3" s="35" t="s">
        <v>144</v>
      </c>
      <c r="F3" s="35" t="s">
        <v>145</v>
      </c>
      <c r="G3" s="35" t="s">
        <v>146</v>
      </c>
      <c r="H3" s="35"/>
      <c r="I3" s="35" t="s">
        <v>147</v>
      </c>
      <c r="J3" s="35" t="s">
        <v>148</v>
      </c>
      <c r="K3" s="35" t="s">
        <v>149</v>
      </c>
      <c r="L3" s="35"/>
      <c r="M3" s="35" t="s">
        <v>150</v>
      </c>
      <c r="N3" s="35"/>
      <c r="O3" s="35"/>
      <c r="P3" s="35"/>
      <c r="Q3" s="36"/>
    </row>
    <row r="4" spans="1:17" x14ac:dyDescent="0.25">
      <c r="A4" s="30" t="s">
        <v>100</v>
      </c>
      <c r="B4" s="31" t="s">
        <v>94</v>
      </c>
      <c r="C4" s="32" t="s">
        <v>152</v>
      </c>
      <c r="D4" s="35" t="s">
        <v>143</v>
      </c>
      <c r="E4" s="35" t="s">
        <v>144</v>
      </c>
      <c r="F4" s="35" t="s">
        <v>145</v>
      </c>
      <c r="G4" s="35" t="s">
        <v>146</v>
      </c>
      <c r="H4" s="35"/>
      <c r="I4" s="35" t="s">
        <v>147</v>
      </c>
      <c r="J4" s="35" t="s">
        <v>148</v>
      </c>
      <c r="K4" s="35" t="s">
        <v>149</v>
      </c>
      <c r="L4" s="35"/>
      <c r="M4" s="35" t="s">
        <v>150</v>
      </c>
      <c r="N4" s="35"/>
      <c r="O4" s="35"/>
      <c r="P4" s="35"/>
      <c r="Q4" s="36"/>
    </row>
    <row r="5" spans="1:17" x14ac:dyDescent="0.25">
      <c r="A5" s="37" t="s">
        <v>153</v>
      </c>
      <c r="B5" s="38" t="s">
        <v>94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154</v>
      </c>
      <c r="C6" s="44" t="s">
        <v>126</v>
      </c>
      <c r="D6" s="33"/>
      <c r="E6" s="33"/>
      <c r="G6" s="33" t="s">
        <v>155</v>
      </c>
      <c r="H6" s="33"/>
      <c r="I6" s="33"/>
      <c r="K6" s="33" t="s">
        <v>156</v>
      </c>
      <c r="L6" s="46"/>
      <c r="M6" s="33"/>
      <c r="N6" s="33" t="s">
        <v>157</v>
      </c>
      <c r="P6" s="47"/>
      <c r="Q6" s="48"/>
    </row>
    <row r="7" spans="1:17" x14ac:dyDescent="0.25">
      <c r="A7" s="30" t="s">
        <v>99</v>
      </c>
      <c r="B7" s="31" t="s">
        <v>154</v>
      </c>
      <c r="C7" s="32" t="s">
        <v>151</v>
      </c>
      <c r="D7" s="35"/>
      <c r="E7" s="35"/>
      <c r="G7" s="35" t="s">
        <v>155</v>
      </c>
      <c r="H7" s="35"/>
      <c r="I7" s="35"/>
      <c r="K7" s="35" t="s">
        <v>156</v>
      </c>
      <c r="M7" s="35"/>
      <c r="N7" s="35" t="s">
        <v>157</v>
      </c>
      <c r="P7" s="49"/>
      <c r="Q7" s="50"/>
    </row>
    <row r="8" spans="1:17" x14ac:dyDescent="0.25">
      <c r="A8" s="30" t="s">
        <v>100</v>
      </c>
      <c r="B8" s="31" t="s">
        <v>154</v>
      </c>
      <c r="C8" s="32" t="s">
        <v>152</v>
      </c>
      <c r="D8" s="35"/>
      <c r="E8" s="35"/>
      <c r="G8" s="35" t="s">
        <v>155</v>
      </c>
      <c r="H8" s="35"/>
      <c r="I8" s="35"/>
      <c r="K8" s="35" t="s">
        <v>156</v>
      </c>
      <c r="M8" s="35"/>
      <c r="N8" s="35" t="s">
        <v>157</v>
      </c>
      <c r="P8" s="49"/>
      <c r="Q8" s="50"/>
    </row>
    <row r="9" spans="1:17" x14ac:dyDescent="0.25">
      <c r="A9" s="37" t="s">
        <v>153</v>
      </c>
      <c r="B9" s="38" t="s">
        <v>154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126</v>
      </c>
      <c r="D10" s="33"/>
      <c r="E10" s="33" t="s">
        <v>158</v>
      </c>
      <c r="F10" s="33"/>
      <c r="G10" s="33"/>
      <c r="H10" s="33" t="s">
        <v>159</v>
      </c>
      <c r="I10" s="33"/>
      <c r="J10" s="33"/>
      <c r="K10" s="33" t="s">
        <v>160</v>
      </c>
      <c r="L10" s="33"/>
      <c r="M10" s="33"/>
      <c r="N10" s="33" t="s">
        <v>161</v>
      </c>
      <c r="O10" s="33" t="s">
        <v>162</v>
      </c>
      <c r="P10" s="33" t="s">
        <v>162</v>
      </c>
      <c r="Q10" s="34"/>
    </row>
    <row r="11" spans="1:17" x14ac:dyDescent="0.25">
      <c r="A11" s="30" t="s">
        <v>99</v>
      </c>
      <c r="B11" s="31" t="s">
        <v>6</v>
      </c>
      <c r="C11" s="32" t="s">
        <v>151</v>
      </c>
      <c r="D11" s="35"/>
      <c r="E11" s="35" t="s">
        <v>158</v>
      </c>
      <c r="F11" s="35"/>
      <c r="G11" s="35"/>
      <c r="H11" s="35" t="s">
        <v>159</v>
      </c>
      <c r="I11" s="35"/>
      <c r="J11" s="35"/>
      <c r="K11" s="35" t="s">
        <v>160</v>
      </c>
      <c r="L11" s="35"/>
      <c r="M11" s="35"/>
      <c r="N11" s="35" t="s">
        <v>161</v>
      </c>
      <c r="O11" s="35" t="s">
        <v>162</v>
      </c>
      <c r="P11" s="35" t="s">
        <v>162</v>
      </c>
      <c r="Q11" s="36"/>
    </row>
    <row r="12" spans="1:17" x14ac:dyDescent="0.25">
      <c r="A12" s="30" t="s">
        <v>100</v>
      </c>
      <c r="B12" s="31" t="s">
        <v>6</v>
      </c>
      <c r="C12" s="32" t="s">
        <v>152</v>
      </c>
      <c r="D12" s="35"/>
      <c r="E12" s="35" t="s">
        <v>158</v>
      </c>
      <c r="F12" s="35"/>
      <c r="G12" s="35"/>
      <c r="H12" s="35" t="s">
        <v>159</v>
      </c>
      <c r="I12" s="35"/>
      <c r="J12" s="35"/>
      <c r="K12" s="35" t="s">
        <v>160</v>
      </c>
      <c r="L12" s="35"/>
      <c r="M12" s="35"/>
      <c r="N12" s="35" t="s">
        <v>161</v>
      </c>
      <c r="O12" s="35" t="s">
        <v>162</v>
      </c>
      <c r="P12" s="35" t="s">
        <v>162</v>
      </c>
      <c r="Q12" s="36"/>
    </row>
    <row r="13" spans="1:17" x14ac:dyDescent="0.25">
      <c r="A13" s="37" t="s">
        <v>153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163</v>
      </c>
      <c r="C14" s="44" t="s">
        <v>126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138</v>
      </c>
      <c r="N14" s="33"/>
      <c r="O14" s="33"/>
      <c r="P14" s="33"/>
      <c r="Q14" s="34"/>
    </row>
    <row r="15" spans="1:17" x14ac:dyDescent="0.25">
      <c r="A15" s="30" t="s">
        <v>99</v>
      </c>
      <c r="B15" s="31" t="s">
        <v>163</v>
      </c>
      <c r="C15" s="32" t="s">
        <v>151</v>
      </c>
      <c r="D15" s="35"/>
      <c r="E15" s="35"/>
      <c r="F15" s="35"/>
      <c r="G15" s="35"/>
      <c r="H15" s="35"/>
      <c r="I15" s="35"/>
      <c r="J15" s="35"/>
      <c r="L15" s="35"/>
      <c r="M15" s="35" t="s">
        <v>138</v>
      </c>
      <c r="N15" s="35"/>
      <c r="O15" s="35"/>
      <c r="P15" s="35"/>
      <c r="Q15" s="36"/>
    </row>
    <row r="16" spans="1:17" x14ac:dyDescent="0.25">
      <c r="A16" s="30" t="s">
        <v>100</v>
      </c>
      <c r="B16" s="31" t="s">
        <v>163</v>
      </c>
      <c r="C16" s="32" t="s">
        <v>152</v>
      </c>
      <c r="D16" s="35"/>
      <c r="E16" s="35"/>
      <c r="F16" s="35"/>
      <c r="G16" s="35"/>
      <c r="H16" s="35"/>
      <c r="I16" s="35"/>
      <c r="J16" s="35"/>
      <c r="L16" s="35"/>
      <c r="M16" s="35" t="s">
        <v>138</v>
      </c>
      <c r="N16" s="35"/>
      <c r="O16" s="35"/>
      <c r="P16" s="35"/>
      <c r="Q16" s="36"/>
    </row>
    <row r="17" spans="1:17" x14ac:dyDescent="0.25">
      <c r="A17" s="37" t="s">
        <v>153</v>
      </c>
      <c r="B17" s="38" t="s">
        <v>163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138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164</v>
      </c>
      <c r="C18" s="32" t="s">
        <v>126</v>
      </c>
      <c r="D18" s="35"/>
      <c r="F18" s="35"/>
      <c r="G18" s="35"/>
      <c r="H18" s="35"/>
      <c r="I18" s="35"/>
      <c r="J18" s="35"/>
      <c r="K18" s="35"/>
      <c r="L18" s="35"/>
      <c r="M18" s="35" t="s">
        <v>138</v>
      </c>
      <c r="N18" s="35"/>
      <c r="O18" s="35"/>
      <c r="P18" s="35"/>
      <c r="Q18" s="36"/>
    </row>
    <row r="19" spans="1:17" x14ac:dyDescent="0.25">
      <c r="A19" s="30" t="s">
        <v>99</v>
      </c>
      <c r="B19" s="31" t="s">
        <v>164</v>
      </c>
      <c r="C19" s="32" t="s">
        <v>151</v>
      </c>
      <c r="D19" s="35"/>
      <c r="F19" s="35"/>
      <c r="G19" s="35"/>
      <c r="H19" s="35"/>
      <c r="I19" s="35"/>
      <c r="J19" s="35"/>
      <c r="K19" s="35"/>
      <c r="L19" s="35"/>
      <c r="M19" s="35" t="s">
        <v>138</v>
      </c>
      <c r="N19" s="35"/>
      <c r="O19" s="35"/>
      <c r="P19" s="35"/>
      <c r="Q19" s="36"/>
    </row>
    <row r="20" spans="1:17" x14ac:dyDescent="0.25">
      <c r="A20" s="30" t="s">
        <v>100</v>
      </c>
      <c r="B20" s="31" t="s">
        <v>164</v>
      </c>
      <c r="C20" s="32" t="s">
        <v>152</v>
      </c>
      <c r="D20" s="35"/>
      <c r="F20" s="35"/>
      <c r="G20" s="35"/>
      <c r="H20" s="35"/>
      <c r="I20" s="35"/>
      <c r="J20" s="35"/>
      <c r="K20" s="35"/>
      <c r="L20" s="35"/>
      <c r="M20" s="35" t="s">
        <v>138</v>
      </c>
      <c r="N20" s="35"/>
      <c r="O20" s="35"/>
      <c r="P20" s="35"/>
      <c r="Q20" s="36"/>
    </row>
    <row r="21" spans="1:17" x14ac:dyDescent="0.25">
      <c r="A21" s="37" t="s">
        <v>153</v>
      </c>
      <c r="B21" s="38" t="s">
        <v>164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138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C29" sqref="C29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167</v>
      </c>
      <c r="B1" s="56" t="s">
        <v>5</v>
      </c>
      <c r="C1" s="57" t="s">
        <v>78</v>
      </c>
      <c r="D1" s="57" t="s">
        <v>76</v>
      </c>
      <c r="E1" s="3" t="s">
        <v>168</v>
      </c>
      <c r="F1" s="3" t="s">
        <v>169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7B31-AE7D-4B24-9AEC-8E03DB33F198}">
  <dimension ref="A1:B19"/>
  <sheetViews>
    <sheetView workbookViewId="0">
      <selection activeCell="P33" sqref="P33"/>
    </sheetView>
  </sheetViews>
  <sheetFormatPr defaultRowHeight="15" x14ac:dyDescent="0.25"/>
  <sheetData>
    <row r="1" spans="1:2" x14ac:dyDescent="0.25">
      <c r="A1" t="s">
        <v>212</v>
      </c>
    </row>
    <row r="2" spans="1:2" x14ac:dyDescent="0.25">
      <c r="B2" t="s">
        <v>249</v>
      </c>
    </row>
    <row r="3" spans="1:2" x14ac:dyDescent="0.25">
      <c r="B3" t="s">
        <v>250</v>
      </c>
    </row>
    <row r="4" spans="1:2" x14ac:dyDescent="0.25">
      <c r="B4" t="s">
        <v>251</v>
      </c>
    </row>
    <row r="5" spans="1:2" x14ac:dyDescent="0.25">
      <c r="B5" t="s">
        <v>252</v>
      </c>
    </row>
    <row r="6" spans="1:2" x14ac:dyDescent="0.25">
      <c r="B6" t="s">
        <v>253</v>
      </c>
    </row>
    <row r="7" spans="1:2" x14ac:dyDescent="0.25">
      <c r="B7" t="s">
        <v>254</v>
      </c>
    </row>
    <row r="8" spans="1:2" x14ac:dyDescent="0.25">
      <c r="B8" t="s">
        <v>255</v>
      </c>
    </row>
    <row r="9" spans="1:2" x14ac:dyDescent="0.25">
      <c r="B9" t="s">
        <v>256</v>
      </c>
    </row>
    <row r="10" spans="1:2" x14ac:dyDescent="0.25">
      <c r="B10" t="s">
        <v>257</v>
      </c>
    </row>
    <row r="11" spans="1:2" x14ac:dyDescent="0.25">
      <c r="B11" t="s">
        <v>258</v>
      </c>
    </row>
    <row r="12" spans="1:2" x14ac:dyDescent="0.25">
      <c r="B12" t="s">
        <v>259</v>
      </c>
    </row>
    <row r="13" spans="1:2" x14ac:dyDescent="0.25">
      <c r="B13" t="s">
        <v>260</v>
      </c>
    </row>
    <row r="14" spans="1:2" x14ac:dyDescent="0.25">
      <c r="B14" t="s">
        <v>261</v>
      </c>
    </row>
    <row r="15" spans="1:2" x14ac:dyDescent="0.25">
      <c r="B15" t="s">
        <v>262</v>
      </c>
    </row>
    <row r="16" spans="1:2" x14ac:dyDescent="0.25">
      <c r="B16" t="s">
        <v>263</v>
      </c>
    </row>
    <row r="17" spans="2:2" x14ac:dyDescent="0.25">
      <c r="B17" t="s">
        <v>264</v>
      </c>
    </row>
    <row r="18" spans="2:2" x14ac:dyDescent="0.25">
      <c r="B18" t="s">
        <v>265</v>
      </c>
    </row>
    <row r="19" spans="2:2" x14ac:dyDescent="0.25">
      <c r="B19" t="s">
        <v>266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8F98-936B-4105-A1E0-B80F81BB3320}">
  <dimension ref="A1:G23"/>
  <sheetViews>
    <sheetView tabSelected="1" workbookViewId="0">
      <selection activeCell="E16" sqref="E16"/>
    </sheetView>
  </sheetViews>
  <sheetFormatPr defaultColWidth="9.140625" defaultRowHeight="15" x14ac:dyDescent="0.25"/>
  <cols>
    <col min="1" max="1" width="9" style="4" bestFit="1" customWidth="1"/>
    <col min="2" max="2" width="28" style="5" customWidth="1"/>
    <col min="3" max="3" width="8" style="4" bestFit="1" customWidth="1"/>
    <col min="4" max="4" width="65.28515625" style="4" bestFit="1" customWidth="1"/>
    <col min="5" max="5" width="88" style="60" bestFit="1" customWidth="1"/>
    <col min="6" max="6" width="7.140625" style="4" bestFit="1" customWidth="1"/>
    <col min="7" max="7" width="12.140625" style="4" bestFit="1" customWidth="1"/>
    <col min="8" max="16384" width="9.140625" style="4"/>
  </cols>
  <sheetData>
    <row r="1" spans="1:7" x14ac:dyDescent="0.25">
      <c r="A1" s="56" t="s">
        <v>167</v>
      </c>
      <c r="B1" s="59" t="s">
        <v>239</v>
      </c>
      <c r="C1" s="56" t="s">
        <v>5</v>
      </c>
      <c r="D1" s="57" t="s">
        <v>78</v>
      </c>
      <c r="E1" s="57" t="s">
        <v>76</v>
      </c>
      <c r="F1" s="3" t="s">
        <v>168</v>
      </c>
      <c r="G1" s="3" t="s">
        <v>171</v>
      </c>
    </row>
    <row r="2" spans="1:7" ht="30" x14ac:dyDescent="0.25">
      <c r="A2" s="5" t="s">
        <v>202</v>
      </c>
      <c r="B2" s="59" t="s">
        <v>240</v>
      </c>
      <c r="C2" s="5" t="s">
        <v>172</v>
      </c>
      <c r="D2" s="57" t="s">
        <v>269</v>
      </c>
      <c r="E2" s="57" t="s">
        <v>270</v>
      </c>
      <c r="F2" s="58"/>
      <c r="G2" s="58"/>
    </row>
    <row r="3" spans="1:7" ht="30" x14ac:dyDescent="0.25">
      <c r="A3" s="5" t="s">
        <v>202</v>
      </c>
      <c r="B3" s="59" t="s">
        <v>240</v>
      </c>
      <c r="C3" s="5" t="s">
        <v>173</v>
      </c>
      <c r="D3" s="57" t="s">
        <v>267</v>
      </c>
      <c r="E3" s="57" t="s">
        <v>268</v>
      </c>
      <c r="F3" s="58"/>
      <c r="G3" s="58"/>
    </row>
    <row r="4" spans="1:7" ht="30" x14ac:dyDescent="0.25">
      <c r="A4" s="5" t="s">
        <v>202</v>
      </c>
      <c r="B4" s="59" t="s">
        <v>240</v>
      </c>
      <c r="C4" s="4" t="s">
        <v>271</v>
      </c>
      <c r="D4" s="4" t="s">
        <v>272</v>
      </c>
      <c r="E4" s="60" t="s">
        <v>273</v>
      </c>
      <c r="F4" s="58"/>
      <c r="G4" s="58"/>
    </row>
    <row r="5" spans="1:7" ht="30" x14ac:dyDescent="0.25">
      <c r="A5" s="5" t="s">
        <v>203</v>
      </c>
      <c r="B5" s="59" t="s">
        <v>241</v>
      </c>
      <c r="C5" s="5" t="s">
        <v>174</v>
      </c>
      <c r="D5" s="59" t="s">
        <v>213</v>
      </c>
      <c r="E5" s="59" t="s">
        <v>238</v>
      </c>
      <c r="F5" s="58"/>
      <c r="G5" s="58"/>
    </row>
    <row r="6" spans="1:7" ht="30" x14ac:dyDescent="0.25">
      <c r="A6" s="5" t="s">
        <v>203</v>
      </c>
      <c r="B6" s="59" t="s">
        <v>241</v>
      </c>
      <c r="C6" s="5" t="s">
        <v>175</v>
      </c>
      <c r="D6" s="59" t="s">
        <v>214</v>
      </c>
      <c r="E6" s="59" t="s">
        <v>215</v>
      </c>
      <c r="F6" s="58"/>
      <c r="G6" s="58"/>
    </row>
    <row r="7" spans="1:7" ht="30" x14ac:dyDescent="0.25">
      <c r="A7" s="5" t="s">
        <v>204</v>
      </c>
      <c r="B7" s="59" t="s">
        <v>242</v>
      </c>
      <c r="C7" s="5" t="s">
        <v>176</v>
      </c>
      <c r="D7" s="59" t="s">
        <v>196</v>
      </c>
      <c r="E7" s="59" t="s">
        <v>216</v>
      </c>
      <c r="F7" s="58"/>
      <c r="G7" s="58"/>
    </row>
    <row r="8" spans="1:7" ht="30" x14ac:dyDescent="0.25">
      <c r="A8" s="5" t="s">
        <v>204</v>
      </c>
      <c r="B8" s="59" t="s">
        <v>242</v>
      </c>
      <c r="C8" s="5" t="s">
        <v>177</v>
      </c>
      <c r="D8" s="59" t="s">
        <v>197</v>
      </c>
      <c r="E8" s="59" t="s">
        <v>217</v>
      </c>
      <c r="F8" s="58"/>
      <c r="G8" s="58"/>
    </row>
    <row r="9" spans="1:7" ht="30" x14ac:dyDescent="0.25">
      <c r="A9" s="5" t="s">
        <v>205</v>
      </c>
      <c r="B9" s="59" t="s">
        <v>243</v>
      </c>
      <c r="C9" s="5" t="s">
        <v>178</v>
      </c>
      <c r="D9" s="59" t="s">
        <v>198</v>
      </c>
      <c r="E9" s="59" t="s">
        <v>218</v>
      </c>
      <c r="F9" s="58"/>
      <c r="G9" s="58"/>
    </row>
    <row r="10" spans="1:7" ht="30" x14ac:dyDescent="0.25">
      <c r="A10" s="5" t="s">
        <v>205</v>
      </c>
      <c r="B10" s="59" t="s">
        <v>243</v>
      </c>
      <c r="C10" s="5" t="s">
        <v>179</v>
      </c>
      <c r="D10" s="59" t="s">
        <v>219</v>
      </c>
      <c r="E10" s="59" t="s">
        <v>220</v>
      </c>
      <c r="F10" s="58"/>
      <c r="G10" s="58"/>
    </row>
    <row r="11" spans="1:7" ht="30" x14ac:dyDescent="0.25">
      <c r="A11" s="5" t="s">
        <v>206</v>
      </c>
      <c r="B11" s="59" t="s">
        <v>244</v>
      </c>
      <c r="C11" s="5" t="s">
        <v>180</v>
      </c>
      <c r="D11" s="59" t="s">
        <v>221</v>
      </c>
      <c r="E11" s="59" t="s">
        <v>222</v>
      </c>
      <c r="F11" s="58"/>
      <c r="G11" s="58"/>
    </row>
    <row r="12" spans="1:7" ht="30" x14ac:dyDescent="0.25">
      <c r="A12" s="5" t="s">
        <v>206</v>
      </c>
      <c r="B12" s="59" t="s">
        <v>244</v>
      </c>
      <c r="C12" s="5" t="s">
        <v>181</v>
      </c>
      <c r="D12" s="59" t="s">
        <v>199</v>
      </c>
      <c r="E12" s="59" t="s">
        <v>223</v>
      </c>
      <c r="F12" s="58"/>
      <c r="G12" s="58"/>
    </row>
    <row r="13" spans="1:7" ht="30" x14ac:dyDescent="0.25">
      <c r="A13" s="5" t="s">
        <v>207</v>
      </c>
      <c r="B13" s="59" t="s">
        <v>245</v>
      </c>
      <c r="C13" s="5" t="s">
        <v>182</v>
      </c>
      <c r="D13" s="59" t="s">
        <v>224</v>
      </c>
      <c r="E13" s="59" t="s">
        <v>225</v>
      </c>
      <c r="F13" s="58"/>
      <c r="G13" s="58"/>
    </row>
    <row r="14" spans="1:7" ht="30" x14ac:dyDescent="0.25">
      <c r="A14" s="5" t="s">
        <v>207</v>
      </c>
      <c r="B14" s="59" t="s">
        <v>245</v>
      </c>
      <c r="C14" s="5" t="s">
        <v>183</v>
      </c>
      <c r="D14" s="59" t="s">
        <v>226</v>
      </c>
      <c r="E14" s="59" t="s">
        <v>227</v>
      </c>
      <c r="F14" s="58"/>
      <c r="G14" s="58"/>
    </row>
    <row r="15" spans="1:7" ht="30" x14ac:dyDescent="0.25">
      <c r="A15" s="5" t="s">
        <v>208</v>
      </c>
      <c r="B15" s="59" t="s">
        <v>246</v>
      </c>
      <c r="C15" s="5" t="s">
        <v>184</v>
      </c>
      <c r="D15" s="59" t="s">
        <v>228</v>
      </c>
      <c r="E15" s="59" t="s">
        <v>229</v>
      </c>
      <c r="F15" s="58"/>
    </row>
    <row r="16" spans="1:7" ht="30" x14ac:dyDescent="0.25">
      <c r="A16" s="5" t="s">
        <v>208</v>
      </c>
      <c r="B16" s="59" t="s">
        <v>246</v>
      </c>
      <c r="C16" s="5" t="s">
        <v>185</v>
      </c>
      <c r="D16" s="59" t="s">
        <v>230</v>
      </c>
      <c r="E16" s="59" t="s">
        <v>231</v>
      </c>
      <c r="F16" s="58"/>
    </row>
    <row r="17" spans="1:6" x14ac:dyDescent="0.25">
      <c r="A17" s="5" t="s">
        <v>209</v>
      </c>
      <c r="B17" s="59" t="s">
        <v>247</v>
      </c>
      <c r="C17" s="5" t="s">
        <v>186</v>
      </c>
      <c r="D17" s="59" t="s">
        <v>232</v>
      </c>
      <c r="E17" s="59" t="s">
        <v>233</v>
      </c>
      <c r="F17" s="58"/>
    </row>
    <row r="18" spans="1:6" ht="30" x14ac:dyDescent="0.25">
      <c r="A18" s="5" t="s">
        <v>209</v>
      </c>
      <c r="B18" s="59" t="s">
        <v>247</v>
      </c>
      <c r="C18" s="5" t="s">
        <v>187</v>
      </c>
      <c r="D18" s="59" t="s">
        <v>200</v>
      </c>
      <c r="E18" s="59" t="s">
        <v>234</v>
      </c>
      <c r="F18" s="58"/>
    </row>
    <row r="19" spans="1:6" ht="30" x14ac:dyDescent="0.25">
      <c r="A19" s="5" t="s">
        <v>210</v>
      </c>
      <c r="B19" s="59" t="s">
        <v>248</v>
      </c>
      <c r="C19" s="5" t="s">
        <v>188</v>
      </c>
      <c r="D19" s="59" t="s">
        <v>201</v>
      </c>
      <c r="E19" s="59" t="s">
        <v>235</v>
      </c>
      <c r="F19" s="58"/>
    </row>
    <row r="20" spans="1:6" x14ac:dyDescent="0.25">
      <c r="A20" s="5" t="s">
        <v>210</v>
      </c>
      <c r="B20" s="59" t="s">
        <v>248</v>
      </c>
      <c r="C20" s="5" t="s">
        <v>189</v>
      </c>
      <c r="D20" s="59" t="s">
        <v>236</v>
      </c>
      <c r="E20" s="59" t="s">
        <v>237</v>
      </c>
      <c r="F20" s="58"/>
    </row>
    <row r="21" spans="1:6" x14ac:dyDescent="0.25">
      <c r="D21" s="5"/>
      <c r="E21" s="5"/>
      <c r="F21" s="58"/>
    </row>
    <row r="22" spans="1:6" x14ac:dyDescent="0.25">
      <c r="F22" s="58"/>
    </row>
    <row r="23" spans="1:6" x14ac:dyDescent="0.25">
      <c r="F23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  <vt:lpstr>Readings</vt:lpstr>
      <vt:lpstr>Course Details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Nakul Padalkar</cp:lastModifiedBy>
  <dcterms:created xsi:type="dcterms:W3CDTF">2025-11-06T02:23:11Z</dcterms:created>
  <dcterms:modified xsi:type="dcterms:W3CDTF">2026-09-20T19:13:19Z</dcterms:modified>
</cp:coreProperties>
</file>