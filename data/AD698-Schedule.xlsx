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77576649-D1B6-4D1E-A580-98671C176B7E}" xr6:coauthVersionLast="47" xr6:coauthVersionMax="47" xr10:uidLastSave="{00000000-0000-0000-0000-000000000000}"/>
  <bookViews>
    <workbookView xWindow="2868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5" i="4"/>
  <c r="C4" i="4"/>
  <c r="C3" i="4"/>
  <c r="C2" i="4"/>
  <c r="B5" i="4"/>
  <c r="B4" i="4"/>
  <c r="B3" i="4"/>
  <c r="B2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2" i="4"/>
  <c r="H11" i="4"/>
  <c r="H6" i="4"/>
  <c r="H5" i="4"/>
  <c r="H4" i="4"/>
  <c r="H3" i="4"/>
  <c r="H2" i="4"/>
  <c r="H13" i="4" l="1"/>
</calcChain>
</file>

<file path=xl/sharedStrings.xml><?xml version="1.0" encoding="utf-8"?>
<sst xmlns="http://schemas.openxmlformats.org/spreadsheetml/2006/main" count="368" uniqueCount="225">
  <si>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</si>
  <si>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</si>
  <si>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</si>
  <si>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</si>
  <si>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</si>
  <si>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</si>
  <si>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</si>
  <si>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</si>
  <si>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</si>
  <si>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</si>
  <si>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</si>
  <si>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</si>
  <si>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</si>
  <si>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</si>
  <si>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</si>
  <si>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</si>
  <si>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</si>
  <si>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</si>
  <si>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</si>
  <si>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</si>
  <si>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</si>
  <si>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</si>
  <si>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</si>
  <si>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</si>
  <si>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</si>
  <si>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</si>
  <si>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</si>
  <si>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</si>
  <si>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</si>
  <si>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</si>
  <si>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</si>
  <si>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</si>
  <si>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</si>
  <si>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</si>
  <si>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</si>
  <si>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</si>
  <si>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</si>
  <si>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</si>
  <si>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</si>
  <si>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</si>
  <si>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</si>
  <si>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</si>
  <si>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</si>
  <si>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</si>
  <si>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</si>
  <si>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</si>
  <si>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</si>
  <si>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</si>
  <si>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</si>
  <si>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</si>
  <si>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</si>
  <si>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</si>
  <si>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</si>
  <si>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</si>
  <si>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</si>
  <si>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</si>
  <si>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</si>
  <si>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</si>
  <si>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</si>
  <si>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</si>
  <si>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</si>
  <si>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</si>
  <si>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</si>
  <si>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</si>
  <si>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</si>
  <si>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</si>
  <si>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</si>
  <si>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</si>
  <si>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</si>
  <si>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</si>
  <si>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</si>
  <si>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</si>
  <si>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</si>
  <si>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</si>
  <si>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</si>
  <si>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</si>
  <si>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</si>
  <si>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</si>
  <si>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</si>
  <si>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</si>
  <si>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</si>
  <si>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</si>
  <si>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</si>
  <si>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</si>
  <si>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</si>
  <si>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O1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</si>
  <si>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</si>
  <si>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</si>
  <si>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</si>
  <si>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</si>
  <si>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</si>
  <si>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</si>
  <si>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</si>
  <si>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</si>
  <si>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</si>
  <si>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</si>
  <si>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Github+githubpages ePortfolio Creation</t>
  </si>
  <si>
    <t>Individual Assignments</t>
  </si>
  <si>
    <t>Labs</t>
  </si>
  <si>
    <t>Group Project milestones</t>
  </si>
  <si>
    <t>Git and git website setup</t>
  </si>
  <si>
    <t>Api and data gathering</t>
  </si>
  <si>
    <t>Data cleaning and EDA</t>
  </si>
  <si>
    <t>Analytics, including full website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</si>
  <si>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</si>
  <si>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</si>
  <si>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</si>
  <si>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</si>
  <si>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</si>
  <si>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</si>
  <si>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</si>
  <si>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</si>
  <si>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</si>
  <si>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</si>
  <si>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</si>
  <si>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</si>
  <si>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</si>
  <si>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</si>
  <si>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</si>
  <si>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</si>
  <si>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</si>
  <si>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</si>
  <si>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</si>
  <si>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</si>
  <si>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</si>
  <si>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</si>
  <si>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</si>
  <si>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</si>
  <si>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</si>
  <si>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</si>
  <si>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</si>
  <si>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</si>
  <si>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</si>
  <si>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</si>
  <si>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</si>
  <si>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</si>
  <si>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</si>
  <si>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</si>
  <si>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</si>
  <si>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</si>
  <si>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</si>
  <si>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</si>
  <si>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</si>
  <si>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</si>
  <si>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</si>
  <si>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</si>
  <si>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</si>
  <si>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</si>
  <si>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</si>
  <si>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</si>
  <si>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</si>
  <si>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</si>
  <si>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</si>
  <si>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</si>
  <si>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</si>
  <si>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</si>
  <si>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</si>
  <si>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</si>
  <si>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</si>
  <si>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</si>
  <si>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</si>
  <si>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</si>
  <si>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</si>
  <si>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</si>
  <si>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</si>
  <si>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</si>
  <si>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</si>
  <si>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</si>
  <si>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</si>
  <si>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</si>
  <si>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</si>
  <si>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</si>
  <si>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</si>
  <si>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</si>
  <si>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</si>
  <si>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</si>
  <si>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</si>
  <si>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</si>
  <si>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</si>
  <si>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Labs*</t>
  </si>
  <si>
    <t>Weekly Labs8</t>
  </si>
  <si>
    <t>Dev Setup: GitHub, Jupyter, VS Code, Colab</t>
  </si>
  <si>
    <t>Introduction to Neural Networks</t>
  </si>
  <si>
    <t>Introduction to Natural Language Processing</t>
  </si>
  <si>
    <t>Introduction to Course, Natural Language, and Generative AI Landscape</t>
  </si>
  <si>
    <t>Course tools setup and basic version control with GitHub, notebooks, and IDEs.</t>
  </si>
  <si>
    <t>Understanding the basics of neural networks as a foundation for generative models.</t>
  </si>
  <si>
    <t>Overview of generative AI, its business relevance, and natural language as a data type.</t>
  </si>
  <si>
    <t>Core NLP concepts: tokenization, POS tagging, parsing, and text pre-processing.</t>
  </si>
  <si>
    <t>Learn prompt design, zero-/few-shot techniques, and ICL with business use cases.</t>
  </si>
  <si>
    <t>Tokenization, Embeddings, and Vector Semantics</t>
  </si>
  <si>
    <t>Deep dive into tokenization methods, word embeddings, and semantic search foundations.</t>
  </si>
  <si>
    <t>LLM Internals: Attention, Transformers, and Positional Encoding</t>
  </si>
  <si>
    <t>Explore transformer architecture, attention mechanisms, and context windows.</t>
  </si>
  <si>
    <t>Understanding retrieval-augmented generation concepts and corpus preparation.</t>
  </si>
  <si>
    <t>Build Q&amp;A systems using vector DBs, LangChain chains, and document loaders.</t>
  </si>
  <si>
    <t>Overview of agent-based systems and tool-augmented LLM workflows.</t>
  </si>
  <si>
    <t>Design and orchestrate multi-agent collaborative systems for enterprise tasks.</t>
  </si>
  <si>
    <t>Learn parameter-efficient fine-tuning methods to adapt base models.</t>
  </si>
  <si>
    <t>Set up custom model pipelines and format datasets for supervised fine-tuning.</t>
  </si>
  <si>
    <t>Work with sentence embeddings for document clustering, search, and relevance.</t>
  </si>
  <si>
    <t>Strategies for working with limited context: caching, summaries, and memory buffers.</t>
  </si>
  <si>
    <t>Evaluate generated outputs using automated tools, manual rubrics, and hallucination detection.</t>
  </si>
  <si>
    <t>Assess bias, fairness, and ethics in generated outputs using toolkits and guidelines.</t>
  </si>
  <si>
    <t>Multimodal Models and Use Cases</t>
  </si>
  <si>
    <t>Explore vision-language models and multimodal business applications.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</si>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</sst>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tabSelected="1" workbookViewId="0">
      <selection activeCell="D16" sqref="D16"/>
    </sheetView>
  </sheetViews>
  <sheetFormatPr defaultRowHeight="15" x14ac:dyDescent="0.25"/>
  <cols>
    <col min="1" max="1" width="9" style="58" bestFit="1" customWidth="1"/>
    <col min="2" max="2" width="10.28515625" style="58" bestFit="1" customWidth="1"/>
    <col min="3" max="3" width="46" style="58" bestFit="1" customWidth="1"/>
    <col min="4" max="4" width="52.85546875" style="59" bestFit="1" customWidth="1"/>
    <col min="5" max="5" width="12.140625" style="58" bestFit="1" customWidth="1"/>
    <col min="6" max="6" width="7.7109375" style="58" bestFit="1" customWidth="1"/>
    <col min="7" max="16384" width="9.140625" style="58"/>
  </cols>
  <sheetData>
    <row r="1" spans="1:6" x14ac:dyDescent="0.2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206</v>
      </c>
    </row>
    <row r="2" spans="1:6" x14ac:dyDescent="0.25">
      <c r="A2" t="s">
        <v>7</v>
      </c>
      <c r="B2" t="s">
        <v>207</v>
      </c>
      <c r="C2" t="s">
        <v>181</v>
      </c>
      <c r="D2" t="s">
        <v>185</v>
      </c>
      <c r="E2" s="60"/>
      <c r="F2" s="60"/>
    </row>
    <row r="3" spans="1:6" x14ac:dyDescent="0.25">
      <c r="A3" t="s">
        <v>7</v>
      </c>
      <c r="B3" t="s">
        <v>208</v>
      </c>
      <c r="C3" t="s">
        <v>182</v>
      </c>
      <c r="D3" t="s">
        <v>186</v>
      </c>
      <c r="E3" s="60"/>
      <c r="F3" s="60"/>
    </row>
    <row r="4" spans="1:6" x14ac:dyDescent="0.25">
      <c r="A4" t="s">
        <v>15</v>
      </c>
      <c r="B4" t="s">
        <v>209</v>
      </c>
      <c r="C4" t="s">
        <v>184</v>
      </c>
      <c r="D4" t="s">
        <v>187</v>
      </c>
      <c r="E4" s="60"/>
      <c r="F4" s="60"/>
    </row>
    <row r="5" spans="1:6" x14ac:dyDescent="0.25">
      <c r="A5" t="s">
        <v>15</v>
      </c>
      <c r="B5" t="s">
        <v>210</v>
      </c>
      <c r="C5" t="s">
        <v>183</v>
      </c>
      <c r="D5" t="s">
        <v>188</v>
      </c>
      <c r="E5" s="60"/>
      <c r="F5" s="60"/>
    </row>
    <row r="6" spans="1:6" x14ac:dyDescent="0.25">
      <c r="A6" t="s">
        <v>22</v>
      </c>
      <c r="B6" t="s">
        <v>211</v>
      </c>
      <c r="C6" t="s">
        <v>17</v>
      </c>
      <c r="D6" t="s">
        <v>189</v>
      </c>
      <c r="E6" s="60"/>
      <c r="F6" s="60"/>
    </row>
    <row r="7" spans="1:6" x14ac:dyDescent="0.25">
      <c r="A7" t="s">
        <v>22</v>
      </c>
      <c r="B7" t="s">
        <v>212</v>
      </c>
      <c r="C7" t="s">
        <v>190</v>
      </c>
      <c r="D7" t="s">
        <v>191</v>
      </c>
      <c r="E7" s="60"/>
      <c r="F7" s="60"/>
    </row>
    <row r="8" spans="1:6" x14ac:dyDescent="0.25">
      <c r="A8" t="s">
        <v>30</v>
      </c>
      <c r="B8" t="s">
        <v>213</v>
      </c>
      <c r="C8" t="s">
        <v>192</v>
      </c>
      <c r="D8" t="s">
        <v>193</v>
      </c>
      <c r="E8" s="60"/>
      <c r="F8" s="60"/>
    </row>
    <row r="9" spans="1:6" x14ac:dyDescent="0.25">
      <c r="A9" t="s">
        <v>30</v>
      </c>
      <c r="B9" t="s">
        <v>214</v>
      </c>
      <c r="C9" t="s">
        <v>42</v>
      </c>
      <c r="D9" t="s">
        <v>199</v>
      </c>
      <c r="E9" s="60"/>
      <c r="F9" s="60"/>
    </row>
    <row r="10" spans="1:6" x14ac:dyDescent="0.25">
      <c r="A10" t="s">
        <v>37</v>
      </c>
      <c r="B10" t="s">
        <v>215</v>
      </c>
      <c r="C10" t="s">
        <v>24</v>
      </c>
      <c r="D10" t="s">
        <v>194</v>
      </c>
      <c r="E10" s="60"/>
      <c r="F10" s="60"/>
    </row>
    <row r="11" spans="1:6" x14ac:dyDescent="0.25">
      <c r="A11" t="s">
        <v>37</v>
      </c>
      <c r="B11" t="s">
        <v>216</v>
      </c>
      <c r="C11" t="s">
        <v>27</v>
      </c>
      <c r="D11" t="s">
        <v>195</v>
      </c>
      <c r="E11" s="60"/>
      <c r="F11" s="60"/>
    </row>
    <row r="12" spans="1:6" x14ac:dyDescent="0.25">
      <c r="A12" t="s">
        <v>45</v>
      </c>
      <c r="B12" t="s">
        <v>217</v>
      </c>
      <c r="C12" t="s">
        <v>39</v>
      </c>
      <c r="D12" t="s">
        <v>198</v>
      </c>
      <c r="E12" s="60"/>
      <c r="F12" s="60"/>
    </row>
    <row r="13" spans="1:6" x14ac:dyDescent="0.25">
      <c r="A13" t="s">
        <v>45</v>
      </c>
      <c r="B13" t="s">
        <v>218</v>
      </c>
      <c r="C13" t="s">
        <v>47</v>
      </c>
      <c r="D13" t="s">
        <v>200</v>
      </c>
      <c r="E13" s="60"/>
      <c r="F13" s="60"/>
    </row>
    <row r="14" spans="1:6" x14ac:dyDescent="0.25">
      <c r="A14" t="s">
        <v>53</v>
      </c>
      <c r="B14" t="s">
        <v>219</v>
      </c>
      <c r="C14" t="s">
        <v>50</v>
      </c>
      <c r="D14" t="s">
        <v>201</v>
      </c>
      <c r="E14" s="60"/>
      <c r="F14" s="60"/>
    </row>
    <row r="15" spans="1:6" x14ac:dyDescent="0.25">
      <c r="A15" t="s">
        <v>53</v>
      </c>
      <c r="B15" t="s">
        <v>220</v>
      </c>
      <c r="C15" t="s">
        <v>204</v>
      </c>
      <c r="D15" t="s">
        <v>205</v>
      </c>
      <c r="E15" s="60"/>
    </row>
    <row r="16" spans="1:6" x14ac:dyDescent="0.25">
      <c r="A16" t="s">
        <v>61</v>
      </c>
      <c r="B16" t="s">
        <v>221</v>
      </c>
      <c r="C16" t="s">
        <v>55</v>
      </c>
      <c r="D16" t="s">
        <v>202</v>
      </c>
      <c r="E16" s="60"/>
    </row>
    <row r="17" spans="1:5" x14ac:dyDescent="0.25">
      <c r="A17" t="s">
        <v>61</v>
      </c>
      <c r="B17" t="s">
        <v>222</v>
      </c>
      <c r="C17" t="s">
        <v>58</v>
      </c>
      <c r="D17" t="s">
        <v>203</v>
      </c>
      <c r="E17" s="60"/>
    </row>
    <row r="18" spans="1:5" x14ac:dyDescent="0.25">
      <c r="A18" t="s">
        <v>69</v>
      </c>
      <c r="B18" t="s">
        <v>223</v>
      </c>
      <c r="C18" t="s">
        <v>32</v>
      </c>
      <c r="D18" t="s">
        <v>196</v>
      </c>
      <c r="E18" s="60"/>
    </row>
    <row r="19" spans="1:5" x14ac:dyDescent="0.25">
      <c r="A19" t="s">
        <v>69</v>
      </c>
      <c r="B19" t="s">
        <v>224</v>
      </c>
      <c r="C19" t="s">
        <v>35</v>
      </c>
      <c r="D19" t="s">
        <v>197</v>
      </c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F22" sqref="F22"/>
    </sheetView>
  </sheetViews>
  <sheetFormatPr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173</v>
      </c>
      <c r="C2" s="4" t="s">
        <v>83</v>
      </c>
      <c r="D2" s="3" t="s">
        <v>84</v>
      </c>
      <c r="E2" s="55">
        <v>0.60416666666666663</v>
      </c>
    </row>
    <row r="3" spans="1:5" x14ac:dyDescent="0.25">
      <c r="A3" s="54" t="s">
        <v>85</v>
      </c>
      <c r="B3" s="4" t="s">
        <v>173</v>
      </c>
      <c r="C3" s="4" t="s">
        <v>83</v>
      </c>
      <c r="D3" s="3" t="s">
        <v>86</v>
      </c>
      <c r="E3" s="3" t="s">
        <v>87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3"/>
  <sheetViews>
    <sheetView workbookViewId="0">
      <selection activeCell="B19" sqref="B19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88</v>
      </c>
      <c r="B1" s="7" t="s">
        <v>89</v>
      </c>
      <c r="C1" s="7" t="s">
        <v>90</v>
      </c>
      <c r="E1" s="8" t="s">
        <v>91</v>
      </c>
      <c r="F1" s="7" t="s">
        <v>92</v>
      </c>
      <c r="G1" s="7" t="s">
        <v>93</v>
      </c>
      <c r="H1" s="7" t="s">
        <v>94</v>
      </c>
    </row>
    <row r="2" spans="1:8" x14ac:dyDescent="0.25">
      <c r="A2" t="s">
        <v>95</v>
      </c>
      <c r="B2" s="9">
        <f>F2+F3</f>
        <v>2</v>
      </c>
      <c r="C2" s="9">
        <f>H2+H3</f>
        <v>140</v>
      </c>
      <c r="E2" s="8" t="s">
        <v>178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180</v>
      </c>
      <c r="B3" s="9">
        <f>F4</f>
        <v>10</v>
      </c>
      <c r="C3" s="9">
        <f>H4</f>
        <v>200</v>
      </c>
      <c r="E3" s="8" t="s">
        <v>96</v>
      </c>
      <c r="F3" s="9">
        <v>1</v>
      </c>
      <c r="G3" s="9">
        <v>40</v>
      </c>
      <c r="H3" s="10">
        <f>F3*G3</f>
        <v>40</v>
      </c>
    </row>
    <row r="4" spans="1:8" x14ac:dyDescent="0.25">
      <c r="A4" t="s">
        <v>97</v>
      </c>
      <c r="B4" s="9">
        <f>F5</f>
        <v>5</v>
      </c>
      <c r="C4" s="9">
        <f>H5</f>
        <v>250</v>
      </c>
      <c r="E4" s="8" t="s">
        <v>179</v>
      </c>
      <c r="F4" s="9">
        <v>10</v>
      </c>
      <c r="G4" s="9">
        <v>20</v>
      </c>
      <c r="H4" s="10">
        <f>F4*G4</f>
        <v>200</v>
      </c>
    </row>
    <row r="5" spans="1:8" x14ac:dyDescent="0.25">
      <c r="A5" t="s">
        <v>99</v>
      </c>
      <c r="B5" s="9">
        <f>SUM(F7:F10)</f>
        <v>4</v>
      </c>
      <c r="C5" s="9">
        <f>H6+H11+H12</f>
        <v>160</v>
      </c>
      <c r="E5" s="8" t="s">
        <v>0</v>
      </c>
      <c r="F5" s="9">
        <v>5</v>
      </c>
      <c r="G5" s="9">
        <v>50</v>
      </c>
      <c r="H5" s="10">
        <f>F5*G5</f>
        <v>250</v>
      </c>
    </row>
    <row r="6" spans="1:8" x14ac:dyDescent="0.25">
      <c r="A6" t="s">
        <v>106</v>
      </c>
      <c r="C6" s="9">
        <f>SUM(C2:C5)</f>
        <v>750</v>
      </c>
      <c r="E6" s="8" t="s">
        <v>174</v>
      </c>
      <c r="F6" s="9">
        <v>1</v>
      </c>
      <c r="G6" s="9">
        <v>80</v>
      </c>
      <c r="H6" s="10">
        <f>F6*G6</f>
        <v>80</v>
      </c>
    </row>
    <row r="7" spans="1:8" x14ac:dyDescent="0.25">
      <c r="E7" s="11" t="s">
        <v>100</v>
      </c>
      <c r="F7" s="9">
        <v>1</v>
      </c>
      <c r="G7" s="9"/>
      <c r="H7" s="10"/>
    </row>
    <row r="8" spans="1:8" x14ac:dyDescent="0.25">
      <c r="E8" s="11" t="s">
        <v>101</v>
      </c>
      <c r="F8" s="9">
        <v>1</v>
      </c>
      <c r="G8" s="9"/>
      <c r="H8" s="10"/>
    </row>
    <row r="9" spans="1:8" x14ac:dyDescent="0.25">
      <c r="E9" s="11" t="s">
        <v>102</v>
      </c>
      <c r="F9" s="9">
        <v>1</v>
      </c>
      <c r="G9" s="9"/>
      <c r="H9" s="10"/>
    </row>
    <row r="10" spans="1:8" x14ac:dyDescent="0.25">
      <c r="E10" s="11" t="s">
        <v>103</v>
      </c>
      <c r="F10" s="9">
        <v>1</v>
      </c>
      <c r="G10" s="9"/>
      <c r="H10" s="10"/>
    </row>
    <row r="11" spans="1:8" x14ac:dyDescent="0.25">
      <c r="E11" t="s">
        <v>104</v>
      </c>
      <c r="F11" s="9">
        <v>1</v>
      </c>
      <c r="G11" s="9">
        <v>40</v>
      </c>
      <c r="H11" s="10">
        <f>F11*G11</f>
        <v>40</v>
      </c>
    </row>
    <row r="12" spans="1:8" x14ac:dyDescent="0.25">
      <c r="E12" t="s">
        <v>105</v>
      </c>
      <c r="F12" s="9">
        <v>1</v>
      </c>
      <c r="G12" s="9">
        <v>40</v>
      </c>
      <c r="H12" s="10">
        <f>F12*G12</f>
        <v>40</v>
      </c>
    </row>
    <row r="13" spans="1:8" x14ac:dyDescent="0.25">
      <c r="E13" s="8" t="s">
        <v>106</v>
      </c>
      <c r="F13" s="9"/>
      <c r="G13" s="9"/>
      <c r="H13" s="9">
        <f>SUM(H2:H12)</f>
        <v>750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C18" sqref="C18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107</v>
      </c>
      <c r="C1" s="13" t="s">
        <v>108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J33" sqref="J33"/>
    </sheetView>
  </sheetViews>
  <sheetFormatPr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109</v>
      </c>
      <c r="B1" s="16" t="s">
        <v>110</v>
      </c>
      <c r="C1" s="16" t="s">
        <v>111</v>
      </c>
      <c r="D1" s="15" t="s">
        <v>112</v>
      </c>
      <c r="E1" s="15" t="s">
        <v>113</v>
      </c>
      <c r="F1" s="15" t="s">
        <v>81</v>
      </c>
      <c r="G1" s="17" t="s">
        <v>114</v>
      </c>
      <c r="H1" s="18" t="s">
        <v>115</v>
      </c>
      <c r="I1" s="18" t="s">
        <v>116</v>
      </c>
      <c r="J1" s="18" t="s">
        <v>117</v>
      </c>
      <c r="K1" s="18" t="s">
        <v>118</v>
      </c>
      <c r="L1" s="18" t="s">
        <v>119</v>
      </c>
      <c r="M1" s="18" t="s">
        <v>120</v>
      </c>
      <c r="N1" s="18" t="s">
        <v>121</v>
      </c>
      <c r="O1" s="18" t="s">
        <v>122</v>
      </c>
      <c r="P1" s="18" t="s">
        <v>123</v>
      </c>
      <c r="Q1" s="18" t="s">
        <v>124</v>
      </c>
      <c r="R1" s="18" t="s">
        <v>125</v>
      </c>
      <c r="S1" s="18" t="s">
        <v>126</v>
      </c>
      <c r="T1" s="19" t="s">
        <v>127</v>
      </c>
    </row>
    <row r="2" spans="1:20" x14ac:dyDescent="0.25">
      <c r="A2" s="20" t="s">
        <v>128</v>
      </c>
      <c r="B2" s="20" t="s">
        <v>129</v>
      </c>
      <c r="C2" s="20" t="s">
        <v>130</v>
      </c>
      <c r="D2" s="21" t="s">
        <v>131</v>
      </c>
      <c r="E2" s="22" t="s">
        <v>132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133</v>
      </c>
      <c r="B3" s="20" t="s">
        <v>129</v>
      </c>
      <c r="C3" s="20" t="s">
        <v>130</v>
      </c>
      <c r="D3" s="21" t="s">
        <v>131</v>
      </c>
      <c r="E3" s="22" t="s">
        <v>134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F26" sqref="F26"/>
    </sheetView>
  </sheetViews>
  <sheetFormatPr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135</v>
      </c>
      <c r="B1" s="27" t="s">
        <v>136</v>
      </c>
      <c r="C1" s="28" t="s">
        <v>113</v>
      </c>
      <c r="D1" s="18" t="s">
        <v>137</v>
      </c>
      <c r="E1" s="18" t="s">
        <v>138</v>
      </c>
      <c r="F1" s="18" t="s">
        <v>139</v>
      </c>
      <c r="G1" s="18" t="s">
        <v>140</v>
      </c>
      <c r="H1" s="18" t="s">
        <v>141</v>
      </c>
      <c r="I1" s="18" t="s">
        <v>142</v>
      </c>
      <c r="J1" s="18" t="s">
        <v>143</v>
      </c>
      <c r="K1" s="18" t="s">
        <v>144</v>
      </c>
      <c r="L1" s="18" t="s">
        <v>145</v>
      </c>
      <c r="M1" s="18" t="s">
        <v>146</v>
      </c>
      <c r="N1" s="18" t="s">
        <v>147</v>
      </c>
      <c r="O1" s="18" t="s">
        <v>148</v>
      </c>
      <c r="P1" s="18" t="s">
        <v>149</v>
      </c>
      <c r="Q1" s="19" t="s">
        <v>150</v>
      </c>
    </row>
    <row r="2" spans="1:17" x14ac:dyDescent="0.25">
      <c r="A2" s="30" t="s">
        <v>82</v>
      </c>
      <c r="B2" s="31" t="s">
        <v>98</v>
      </c>
      <c r="C2" s="32" t="s">
        <v>134</v>
      </c>
      <c r="D2" s="33" t="s">
        <v>151</v>
      </c>
      <c r="E2" s="33" t="s">
        <v>152</v>
      </c>
      <c r="F2" s="33" t="s">
        <v>153</v>
      </c>
      <c r="G2" s="33" t="s">
        <v>154</v>
      </c>
      <c r="H2" s="33"/>
      <c r="I2" s="33" t="s">
        <v>155</v>
      </c>
      <c r="J2" s="33" t="s">
        <v>156</v>
      </c>
      <c r="K2" s="33" t="s">
        <v>157</v>
      </c>
      <c r="L2" s="33"/>
      <c r="M2" s="33" t="s">
        <v>158</v>
      </c>
      <c r="N2" s="33"/>
      <c r="O2" s="33"/>
      <c r="P2" s="33"/>
      <c r="Q2" s="34"/>
    </row>
    <row r="3" spans="1:17" x14ac:dyDescent="0.25">
      <c r="A3" s="30" t="s">
        <v>107</v>
      </c>
      <c r="B3" s="31" t="s">
        <v>98</v>
      </c>
      <c r="C3" s="32" t="s">
        <v>159</v>
      </c>
      <c r="D3" s="35" t="s">
        <v>151</v>
      </c>
      <c r="E3" s="35" t="s">
        <v>152</v>
      </c>
      <c r="F3" s="35" t="s">
        <v>153</v>
      </c>
      <c r="G3" s="35" t="s">
        <v>154</v>
      </c>
      <c r="H3" s="35"/>
      <c r="I3" s="35" t="s">
        <v>155</v>
      </c>
      <c r="J3" s="35" t="s">
        <v>156</v>
      </c>
      <c r="K3" s="35" t="s">
        <v>157</v>
      </c>
      <c r="L3" s="35"/>
      <c r="M3" s="35" t="s">
        <v>158</v>
      </c>
      <c r="N3" s="35"/>
      <c r="O3" s="35"/>
      <c r="P3" s="35"/>
      <c r="Q3" s="36"/>
    </row>
    <row r="4" spans="1:17" x14ac:dyDescent="0.25">
      <c r="A4" s="30" t="s">
        <v>108</v>
      </c>
      <c r="B4" s="31" t="s">
        <v>98</v>
      </c>
      <c r="C4" s="32" t="s">
        <v>160</v>
      </c>
      <c r="D4" s="35" t="s">
        <v>151</v>
      </c>
      <c r="E4" s="35" t="s">
        <v>152</v>
      </c>
      <c r="F4" s="35" t="s">
        <v>153</v>
      </c>
      <c r="G4" s="35" t="s">
        <v>154</v>
      </c>
      <c r="H4" s="35"/>
      <c r="I4" s="35" t="s">
        <v>155</v>
      </c>
      <c r="J4" s="35" t="s">
        <v>156</v>
      </c>
      <c r="K4" s="35" t="s">
        <v>157</v>
      </c>
      <c r="L4" s="35"/>
      <c r="M4" s="35" t="s">
        <v>158</v>
      </c>
      <c r="N4" s="35"/>
      <c r="O4" s="35"/>
      <c r="P4" s="35"/>
      <c r="Q4" s="36"/>
    </row>
    <row r="5" spans="1:17" x14ac:dyDescent="0.25">
      <c r="A5" s="37" t="s">
        <v>161</v>
      </c>
      <c r="B5" s="38" t="s">
        <v>98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162</v>
      </c>
      <c r="C6" s="44" t="s">
        <v>134</v>
      </c>
      <c r="D6" s="33"/>
      <c r="E6" s="33"/>
      <c r="G6" s="33" t="s">
        <v>163</v>
      </c>
      <c r="H6" s="33"/>
      <c r="I6" s="33"/>
      <c r="K6" s="33" t="s">
        <v>164</v>
      </c>
      <c r="L6" s="46"/>
      <c r="M6" s="33"/>
      <c r="N6" s="33" t="s">
        <v>165</v>
      </c>
      <c r="P6" s="47"/>
      <c r="Q6" s="48"/>
    </row>
    <row r="7" spans="1:17" x14ac:dyDescent="0.25">
      <c r="A7" s="30" t="s">
        <v>107</v>
      </c>
      <c r="B7" s="31" t="s">
        <v>162</v>
      </c>
      <c r="C7" s="32" t="s">
        <v>159</v>
      </c>
      <c r="D7" s="35"/>
      <c r="E7" s="35"/>
      <c r="G7" s="35" t="s">
        <v>163</v>
      </c>
      <c r="H7" s="35"/>
      <c r="I7" s="35"/>
      <c r="K7" s="35" t="s">
        <v>164</v>
      </c>
      <c r="M7" s="35"/>
      <c r="N7" s="35" t="s">
        <v>165</v>
      </c>
      <c r="P7" s="49"/>
      <c r="Q7" s="50"/>
    </row>
    <row r="8" spans="1:17" x14ac:dyDescent="0.25">
      <c r="A8" s="30" t="s">
        <v>108</v>
      </c>
      <c r="B8" s="31" t="s">
        <v>162</v>
      </c>
      <c r="C8" s="32" t="s">
        <v>160</v>
      </c>
      <c r="D8" s="35"/>
      <c r="E8" s="35"/>
      <c r="G8" s="35" t="s">
        <v>163</v>
      </c>
      <c r="H8" s="35"/>
      <c r="I8" s="35"/>
      <c r="K8" s="35" t="s">
        <v>164</v>
      </c>
      <c r="M8" s="35"/>
      <c r="N8" s="35" t="s">
        <v>165</v>
      </c>
      <c r="P8" s="49"/>
      <c r="Q8" s="50"/>
    </row>
    <row r="9" spans="1:17" x14ac:dyDescent="0.25">
      <c r="A9" s="37" t="s">
        <v>161</v>
      </c>
      <c r="B9" s="38" t="s">
        <v>162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134</v>
      </c>
      <c r="D10" s="33"/>
      <c r="E10" s="33" t="s">
        <v>166</v>
      </c>
      <c r="F10" s="33"/>
      <c r="G10" s="33"/>
      <c r="H10" s="33" t="s">
        <v>167</v>
      </c>
      <c r="I10" s="33"/>
      <c r="J10" s="33"/>
      <c r="K10" s="33" t="s">
        <v>168</v>
      </c>
      <c r="L10" s="33"/>
      <c r="M10" s="33"/>
      <c r="N10" s="33" t="s">
        <v>169</v>
      </c>
      <c r="O10" s="33" t="s">
        <v>170</v>
      </c>
      <c r="P10" s="33" t="s">
        <v>170</v>
      </c>
      <c r="Q10" s="34"/>
    </row>
    <row r="11" spans="1:17" x14ac:dyDescent="0.25">
      <c r="A11" s="30" t="s">
        <v>107</v>
      </c>
      <c r="B11" s="31" t="s">
        <v>6</v>
      </c>
      <c r="C11" s="32" t="s">
        <v>159</v>
      </c>
      <c r="D11" s="35"/>
      <c r="E11" s="35" t="s">
        <v>166</v>
      </c>
      <c r="F11" s="35"/>
      <c r="G11" s="35"/>
      <c r="H11" s="35" t="s">
        <v>167</v>
      </c>
      <c r="I11" s="35"/>
      <c r="J11" s="35"/>
      <c r="K11" s="35" t="s">
        <v>168</v>
      </c>
      <c r="L11" s="35"/>
      <c r="M11" s="35"/>
      <c r="N11" s="35" t="s">
        <v>169</v>
      </c>
      <c r="O11" s="35" t="s">
        <v>170</v>
      </c>
      <c r="P11" s="35" t="s">
        <v>170</v>
      </c>
      <c r="Q11" s="36"/>
    </row>
    <row r="12" spans="1:17" x14ac:dyDescent="0.25">
      <c r="A12" s="30" t="s">
        <v>108</v>
      </c>
      <c r="B12" s="31" t="s">
        <v>6</v>
      </c>
      <c r="C12" s="32" t="s">
        <v>160</v>
      </c>
      <c r="D12" s="35"/>
      <c r="E12" s="35" t="s">
        <v>166</v>
      </c>
      <c r="F12" s="35"/>
      <c r="G12" s="35"/>
      <c r="H12" s="35" t="s">
        <v>167</v>
      </c>
      <c r="I12" s="35"/>
      <c r="J12" s="35"/>
      <c r="K12" s="35" t="s">
        <v>168</v>
      </c>
      <c r="L12" s="35"/>
      <c r="M12" s="35"/>
      <c r="N12" s="35" t="s">
        <v>169</v>
      </c>
      <c r="O12" s="35" t="s">
        <v>170</v>
      </c>
      <c r="P12" s="35" t="s">
        <v>170</v>
      </c>
      <c r="Q12" s="36"/>
    </row>
    <row r="13" spans="1:17" x14ac:dyDescent="0.25">
      <c r="A13" s="37" t="s">
        <v>161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171</v>
      </c>
      <c r="C14" s="44" t="s">
        <v>134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146</v>
      </c>
      <c r="N14" s="33"/>
      <c r="O14" s="33"/>
      <c r="P14" s="33"/>
      <c r="Q14" s="34"/>
    </row>
    <row r="15" spans="1:17" x14ac:dyDescent="0.25">
      <c r="A15" s="30" t="s">
        <v>107</v>
      </c>
      <c r="B15" s="31" t="s">
        <v>171</v>
      </c>
      <c r="C15" s="32" t="s">
        <v>159</v>
      </c>
      <c r="D15" s="35"/>
      <c r="E15" s="35"/>
      <c r="F15" s="35"/>
      <c r="G15" s="35"/>
      <c r="H15" s="35"/>
      <c r="I15" s="35"/>
      <c r="J15" s="35"/>
      <c r="L15" s="35"/>
      <c r="M15" s="35" t="s">
        <v>146</v>
      </c>
      <c r="N15" s="35"/>
      <c r="O15" s="35"/>
      <c r="P15" s="35"/>
      <c r="Q15" s="36"/>
    </row>
    <row r="16" spans="1:17" x14ac:dyDescent="0.25">
      <c r="A16" s="30" t="s">
        <v>108</v>
      </c>
      <c r="B16" s="31" t="s">
        <v>171</v>
      </c>
      <c r="C16" s="32" t="s">
        <v>160</v>
      </c>
      <c r="D16" s="35"/>
      <c r="E16" s="35"/>
      <c r="F16" s="35"/>
      <c r="G16" s="35"/>
      <c r="H16" s="35"/>
      <c r="I16" s="35"/>
      <c r="J16" s="35"/>
      <c r="L16" s="35"/>
      <c r="M16" s="35" t="s">
        <v>146</v>
      </c>
      <c r="N16" s="35"/>
      <c r="O16" s="35"/>
      <c r="P16" s="35"/>
      <c r="Q16" s="36"/>
    </row>
    <row r="17" spans="1:17" x14ac:dyDescent="0.25">
      <c r="A17" s="37" t="s">
        <v>161</v>
      </c>
      <c r="B17" s="38" t="s">
        <v>171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146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172</v>
      </c>
      <c r="C18" s="32" t="s">
        <v>134</v>
      </c>
      <c r="D18" s="35"/>
      <c r="F18" s="35"/>
      <c r="G18" s="35"/>
      <c r="H18" s="35"/>
      <c r="I18" s="35"/>
      <c r="J18" s="35"/>
      <c r="K18" s="35"/>
      <c r="L18" s="35"/>
      <c r="M18" s="35" t="s">
        <v>146</v>
      </c>
      <c r="N18" s="35"/>
      <c r="O18" s="35"/>
      <c r="P18" s="35"/>
      <c r="Q18" s="36"/>
    </row>
    <row r="19" spans="1:17" x14ac:dyDescent="0.25">
      <c r="A19" s="30" t="s">
        <v>107</v>
      </c>
      <c r="B19" s="31" t="s">
        <v>172</v>
      </c>
      <c r="C19" s="32" t="s">
        <v>159</v>
      </c>
      <c r="D19" s="35"/>
      <c r="F19" s="35"/>
      <c r="G19" s="35"/>
      <c r="H19" s="35"/>
      <c r="I19" s="35"/>
      <c r="J19" s="35"/>
      <c r="K19" s="35"/>
      <c r="L19" s="35"/>
      <c r="M19" s="35" t="s">
        <v>146</v>
      </c>
      <c r="N19" s="35"/>
      <c r="O19" s="35"/>
      <c r="P19" s="35"/>
      <c r="Q19" s="36"/>
    </row>
    <row r="20" spans="1:17" x14ac:dyDescent="0.25">
      <c r="A20" s="30" t="s">
        <v>108</v>
      </c>
      <c r="B20" s="31" t="s">
        <v>172</v>
      </c>
      <c r="C20" s="32" t="s">
        <v>160</v>
      </c>
      <c r="D20" s="35"/>
      <c r="F20" s="35"/>
      <c r="G20" s="35"/>
      <c r="H20" s="35"/>
      <c r="I20" s="35"/>
      <c r="J20" s="35"/>
      <c r="K20" s="35"/>
      <c r="L20" s="35"/>
      <c r="M20" s="35" t="s">
        <v>146</v>
      </c>
      <c r="N20" s="35"/>
      <c r="O20" s="35"/>
      <c r="P20" s="35"/>
      <c r="Q20" s="36"/>
    </row>
    <row r="21" spans="1:17" x14ac:dyDescent="0.25">
      <c r="A21" s="37" t="s">
        <v>161</v>
      </c>
      <c r="B21" s="38" t="s">
        <v>172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146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177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2025-11-15T00:40:53Z</dcterms:modified>
</cp:coreProperties>
</file>