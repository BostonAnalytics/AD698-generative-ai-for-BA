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53C655CE-4D39-4388-8296-7BA331DFED7C}" xr6:coauthVersionLast="47" xr6:coauthVersionMax="47" xr10:uidLastSave="{00000000-0000-0000-0000-000000000000}"/>
  <bookViews>
    <workbookView xWindow="28680" yWindow="-120" windowWidth="29040" windowHeight="15720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4" l="1"/>
  <c r="C5" i="4"/>
  <c r="C4" i="4"/>
  <c r="C3" i="4"/>
  <c r="C2" i="4"/>
  <c r="B5" i="4"/>
  <c r="B4" i="4"/>
  <c r="B3" i="4"/>
  <c r="B2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2" i="4"/>
  <c r="H11" i="4"/>
  <c r="H6" i="4"/>
  <c r="H5" i="4"/>
  <c r="H4" i="4"/>
  <c r="H3" i="4"/>
  <c r="H2" i="4"/>
  <c r="H13" i="4" l="1"/>
</calcChain>
</file>

<file path=xl/sharedStrings.xml><?xml version="1.0" encoding="utf-8"?>
<sst xmlns="http://schemas.openxmlformats.org/spreadsheetml/2006/main" count="366" uniqueCount="197">
  <si>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</si>
  <si>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</si>
  <si>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</si>
  <si>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</si>
  <si>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</si>
  <si>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</si>
  <si>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</si>
  <si>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</si>
  <si>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</si>
  <si>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</si>
  <si>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</si>
  <si>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</si>
  <si>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</si>
  <si>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</si>
  <si>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</si>
  <si>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</si>
  <si>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</si>
  <si>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</si>
  <si>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</si>
  <si>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</si>
  <si>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</si>
  <si>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</si>
  <si>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</si>
  <si>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</si>
  <si>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</si>
  <si>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</si>
  <si>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</si>
  <si>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</si>
  <si>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</si>
  <si>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</si>
  <si>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</si>
  <si>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</si>
  <si>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</si>
  <si>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</si>
  <si>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</si>
  <si>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</si>
  <si>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</si>
  <si>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</si>
  <si>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</si>
  <si>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</si>
  <si>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</si>
  <si>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</si>
  <si>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</si>
  <si>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</si>
  <si>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</si>
  <si>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</si>
  <si>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</si>
  <si>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</si>
  <si>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</si>
  <si>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</si>
  <si>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</si>
  <si>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</si>
  <si>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</si>
  <si>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</si>
  <si>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</si>
  <si>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</si>
  <si>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</si>
  <si>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</si>
  <si>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</si>
  <si>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</si>
  <si>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</si>
  <si>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</si>
  <si>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</si>
  <si>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</si>
  <si>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</si>
  <si>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</si>
  <si>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</si>
  <si>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</si>
  <si>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</si>
  <si>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</si>
  <si>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</si>
  <si>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</si>
  <si>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</si>
  <si>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</si>
  <si>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</si>
  <si>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</si>
  <si>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</si>
  <si>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Overview of course objectives and use of GenAI in business contexts.</t>
  </si>
  <si>
    <t>Setup instructions for local development using GitHub, Jupyter, and APIs.</t>
  </si>
  <si>
    <t>Core prompting strategies including few-shot, CoT, and ReAct.</t>
  </si>
  <si>
    <t>Applying prompt templates to generate emails, reports, SQL, and summaries.</t>
  </si>
  <si>
    <t>Understanding vector databases and embedding models for RAG.</t>
  </si>
  <si>
    <t>Implementing retrieval-based Q&amp;A systems using LangChain and LlamaIndex.</t>
  </si>
  <si>
    <t>Introduction to AI agents and tool-use chains with LangChain.</t>
  </si>
  <si>
    <t>Designing multi-agent systems for business process automation.</t>
  </si>
  <si>
    <t>Overview of parameter-efficient tuning strategies for LLMs.</t>
  </si>
  <si>
    <t>Running LoRA/QLoRA fine-tunes and comparing to base models.</t>
  </si>
  <si>
    <t>Using embedding models for semantic similarity and clustering.</t>
  </si>
  <si>
    <t>Building memory modules to preserve context in long tasks.</t>
  </si>
  <si>
    <t>Evaluation methods for LLMs including hallucination and output quality.</t>
  </si>
  <si>
    <t>Auditing AI outputs for bias, fairness, and responsible use.</t>
  </si>
  <si>
    <t>Techniques for reducing model size and optimizing inference speed.</t>
  </si>
  <si>
    <t>Deploying GenAI applications using GitHub Actions and Streamlit.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</si>
  <si>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</si>
  <si>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</si>
  <si>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</si>
  <si>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</si>
  <si>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</si>
  <si>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</si>
  <si>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</si>
  <si>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</si>
  <si>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O1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</si>
  <si>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</si>
  <si>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</si>
  <si>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</si>
  <si>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</si>
  <si>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</si>
  <si>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</si>
  <si>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</si>
  <si>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</si>
  <si>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</si>
  <si>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</si>
  <si>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Github+githubpages ePortfolio Creation</t>
  </si>
  <si>
    <t>Individual Assignments</t>
  </si>
  <si>
    <t>Labs</t>
  </si>
  <si>
    <t>Group Project milestones</t>
  </si>
  <si>
    <t>Git and git website setup</t>
  </si>
  <si>
    <t>Api and data gathering</t>
  </si>
  <si>
    <t>Data cleaning and EDA</t>
  </si>
  <si>
    <t>Analytics, including full website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</si>
  <si>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</si>
  <si>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</si>
  <si>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</si>
  <si>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</si>
  <si>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</si>
  <si>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</si>
  <si>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</si>
  <si>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</si>
  <si>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</si>
  <si>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</si>
  <si>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</si>
  <si>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</si>
  <si>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</si>
  <si>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</si>
  <si>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</si>
  <si>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</si>
  <si>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</si>
  <si>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</si>
  <si>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</si>
  <si>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</si>
  <si>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</si>
  <si>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</si>
  <si>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</si>
  <si>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</si>
  <si>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</si>
  <si>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</si>
  <si>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</si>
  <si>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</si>
  <si>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</si>
  <si>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</si>
  <si>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</si>
  <si>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</si>
  <si>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</si>
  <si>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</si>
  <si>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</si>
  <si>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</si>
  <si>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</si>
  <si>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</si>
  <si>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</si>
  <si>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</si>
  <si>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</si>
  <si>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</si>
  <si>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</si>
  <si>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</si>
  <si>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</si>
  <si>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</si>
  <si>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</si>
  <si>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</si>
  <si>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</si>
  <si>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</si>
  <si>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</si>
  <si>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</si>
  <si>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</si>
  <si>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</si>
  <si>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</si>
  <si>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</si>
  <si>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</si>
  <si>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</si>
  <si>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</si>
  <si>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</si>
  <si>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</si>
  <si>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</si>
  <si>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</si>
  <si>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</si>
  <si>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</si>
  <si>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</si>
  <si>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</si>
  <si>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</si>
  <si>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</si>
  <si>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</si>
  <si>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</si>
  <si>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</si>
  <si>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</si>
  <si>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</si>
  <si>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</si>
  <si>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Labs*</t>
  </si>
  <si>
    <t>Weekly Labs8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</si>
</sst>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" fontId="3" fillId="0" borderId="0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F19"/>
  <sheetViews>
    <sheetView tabSelected="1" workbookViewId="0">
      <selection activeCell="I15" sqref="I15"/>
    </sheetView>
  </sheetViews>
  <sheetFormatPr defaultRowHeight="15" x14ac:dyDescent="0.25"/>
  <cols>
    <col min="1" max="1" width="9" style="1" bestFit="1" customWidth="1"/>
    <col min="2" max="2" width="10.28515625" style="1" bestFit="1" customWidth="1"/>
    <col min="3" max="3" width="46" style="1" bestFit="1" customWidth="1"/>
    <col min="4" max="4" width="53.5703125" style="5" customWidth="1"/>
    <col min="5" max="5" width="7.140625" style="1" bestFit="1" customWidth="1"/>
    <col min="6" max="6" width="11.85546875" style="1" bestFit="1" customWidth="1"/>
    <col min="7" max="16384" width="9.140625" style="1"/>
  </cols>
  <sheetData>
    <row r="1" spans="1:6" x14ac:dyDescent="0.25">
      <c r="A1" s="60" t="s">
        <v>191</v>
      </c>
      <c r="B1" s="60" t="s">
        <v>5</v>
      </c>
      <c r="C1" s="61" t="s">
        <v>94</v>
      </c>
      <c r="D1" s="61" t="s">
        <v>76</v>
      </c>
      <c r="E1" s="7" t="s">
        <v>192</v>
      </c>
      <c r="F1" s="7" t="s">
        <v>193</v>
      </c>
    </row>
    <row r="2" spans="1:6" ht="30" x14ac:dyDescent="0.25">
      <c r="A2" s="4" t="s">
        <v>7</v>
      </c>
      <c r="B2" s="4" t="s">
        <v>8</v>
      </c>
      <c r="C2" s="4" t="s">
        <v>9</v>
      </c>
      <c r="D2" s="5" t="s">
        <v>77</v>
      </c>
      <c r="E2" s="7"/>
      <c r="F2" s="7"/>
    </row>
    <row r="3" spans="1:6" ht="30" x14ac:dyDescent="0.25">
      <c r="A3" s="1" t="s">
        <v>7</v>
      </c>
      <c r="B3" s="1" t="s">
        <v>12</v>
      </c>
      <c r="C3" s="1" t="s">
        <v>13</v>
      </c>
      <c r="D3" s="5" t="s">
        <v>78</v>
      </c>
      <c r="E3" s="7"/>
      <c r="F3" s="7"/>
    </row>
    <row r="4" spans="1:6" ht="30" x14ac:dyDescent="0.25">
      <c r="A4" s="1" t="s">
        <v>15</v>
      </c>
      <c r="B4" s="1" t="s">
        <v>16</v>
      </c>
      <c r="C4" s="1" t="s">
        <v>17</v>
      </c>
      <c r="D4" s="5" t="s">
        <v>79</v>
      </c>
      <c r="E4" s="62">
        <v>45902</v>
      </c>
      <c r="F4" s="62">
        <v>45908</v>
      </c>
    </row>
    <row r="5" spans="1:6" ht="30" x14ac:dyDescent="0.25">
      <c r="A5" s="1" t="s">
        <v>15</v>
      </c>
      <c r="B5" s="1" t="s">
        <v>19</v>
      </c>
      <c r="C5" s="1" t="s">
        <v>20</v>
      </c>
      <c r="D5" s="5" t="s">
        <v>80</v>
      </c>
      <c r="E5" s="62">
        <v>45902</v>
      </c>
      <c r="F5" s="62">
        <v>45915</v>
      </c>
    </row>
    <row r="6" spans="1:6" ht="30" x14ac:dyDescent="0.25">
      <c r="A6" s="1" t="s">
        <v>22</v>
      </c>
      <c r="B6" s="1" t="s">
        <v>23</v>
      </c>
      <c r="C6" s="1" t="s">
        <v>24</v>
      </c>
      <c r="D6" s="5" t="s">
        <v>81</v>
      </c>
      <c r="E6" s="62">
        <v>45909</v>
      </c>
      <c r="F6" s="62">
        <v>45922</v>
      </c>
    </row>
    <row r="7" spans="1:6" ht="30" x14ac:dyDescent="0.25">
      <c r="A7" s="1" t="s">
        <v>22</v>
      </c>
      <c r="B7" s="1" t="s">
        <v>26</v>
      </c>
      <c r="C7" s="1" t="s">
        <v>27</v>
      </c>
      <c r="D7" s="5" t="s">
        <v>82</v>
      </c>
      <c r="E7" s="62">
        <v>45909</v>
      </c>
      <c r="F7" s="62">
        <v>45929</v>
      </c>
    </row>
    <row r="8" spans="1:6" ht="30" x14ac:dyDescent="0.25">
      <c r="A8" s="1" t="s">
        <v>30</v>
      </c>
      <c r="B8" s="1" t="s">
        <v>31</v>
      </c>
      <c r="C8" s="1" t="s">
        <v>32</v>
      </c>
      <c r="D8" s="5" t="s">
        <v>83</v>
      </c>
      <c r="E8" s="62">
        <v>45916</v>
      </c>
      <c r="F8" s="62">
        <v>45936</v>
      </c>
    </row>
    <row r="9" spans="1:6" ht="30" x14ac:dyDescent="0.25">
      <c r="A9" s="1" t="s">
        <v>30</v>
      </c>
      <c r="B9" s="1" t="s">
        <v>34</v>
      </c>
      <c r="C9" s="1" t="s">
        <v>35</v>
      </c>
      <c r="D9" s="5" t="s">
        <v>84</v>
      </c>
      <c r="E9" s="62">
        <v>45916</v>
      </c>
      <c r="F9" s="62">
        <v>45950</v>
      </c>
    </row>
    <row r="10" spans="1:6" x14ac:dyDescent="0.25">
      <c r="A10" s="1" t="s">
        <v>37</v>
      </c>
      <c r="B10" s="1" t="s">
        <v>38</v>
      </c>
      <c r="C10" s="1" t="s">
        <v>39</v>
      </c>
      <c r="D10" s="5" t="s">
        <v>85</v>
      </c>
      <c r="E10" s="62">
        <v>45923</v>
      </c>
      <c r="F10" s="62">
        <v>45957</v>
      </c>
    </row>
    <row r="11" spans="1:6" ht="30" x14ac:dyDescent="0.25">
      <c r="A11" s="1" t="s">
        <v>37</v>
      </c>
      <c r="B11" s="1" t="s">
        <v>41</v>
      </c>
      <c r="C11" s="1" t="s">
        <v>42</v>
      </c>
      <c r="D11" s="5" t="s">
        <v>86</v>
      </c>
      <c r="E11" s="62">
        <v>45923</v>
      </c>
      <c r="F11" s="62">
        <v>45964</v>
      </c>
    </row>
    <row r="12" spans="1:6" ht="30" x14ac:dyDescent="0.25">
      <c r="A12" s="1" t="s">
        <v>45</v>
      </c>
      <c r="B12" s="1" t="s">
        <v>46</v>
      </c>
      <c r="C12" s="1" t="s">
        <v>47</v>
      </c>
      <c r="D12" s="5" t="s">
        <v>87</v>
      </c>
      <c r="E12" s="62">
        <v>45930</v>
      </c>
      <c r="F12" s="62">
        <v>45971</v>
      </c>
    </row>
    <row r="13" spans="1:6" ht="30" x14ac:dyDescent="0.25">
      <c r="A13" s="1" t="s">
        <v>45</v>
      </c>
      <c r="B13" s="1" t="s">
        <v>49</v>
      </c>
      <c r="C13" s="1" t="s">
        <v>50</v>
      </c>
      <c r="D13" s="5" t="s">
        <v>88</v>
      </c>
      <c r="E13" s="62">
        <v>45930</v>
      </c>
      <c r="F13" s="62">
        <v>45978</v>
      </c>
    </row>
    <row r="14" spans="1:6" ht="30" x14ac:dyDescent="0.25">
      <c r="A14" s="1" t="s">
        <v>53</v>
      </c>
      <c r="B14" s="1" t="s">
        <v>54</v>
      </c>
      <c r="C14" s="1" t="s">
        <v>55</v>
      </c>
      <c r="D14" s="5" t="s">
        <v>89</v>
      </c>
      <c r="E14" s="62">
        <v>45937</v>
      </c>
      <c r="F14" s="62">
        <v>45985</v>
      </c>
    </row>
    <row r="15" spans="1:6" ht="30" x14ac:dyDescent="0.25">
      <c r="A15" s="1" t="s">
        <v>53</v>
      </c>
      <c r="B15" s="1" t="s">
        <v>57</v>
      </c>
      <c r="C15" s="1" t="s">
        <v>58</v>
      </c>
      <c r="D15" s="5" t="s">
        <v>90</v>
      </c>
      <c r="E15" s="62">
        <v>45937</v>
      </c>
      <c r="F15" s="62">
        <v>45992</v>
      </c>
    </row>
    <row r="16" spans="1:6" ht="30" x14ac:dyDescent="0.25">
      <c r="A16" s="1" t="s">
        <v>61</v>
      </c>
      <c r="B16" s="1" t="s">
        <v>62</v>
      </c>
      <c r="C16" s="1" t="s">
        <v>63</v>
      </c>
      <c r="D16" s="5" t="s">
        <v>91</v>
      </c>
      <c r="E16" s="7"/>
      <c r="F16" s="62">
        <v>45999</v>
      </c>
    </row>
    <row r="17" spans="1:4" ht="30" x14ac:dyDescent="0.25">
      <c r="A17" s="1" t="s">
        <v>61</v>
      </c>
      <c r="B17" s="1" t="s">
        <v>65</v>
      </c>
      <c r="C17" s="1" t="s">
        <v>66</v>
      </c>
      <c r="D17" s="5" t="s">
        <v>92</v>
      </c>
    </row>
    <row r="18" spans="1:4" x14ac:dyDescent="0.25">
      <c r="A18" s="1" t="s">
        <v>69</v>
      </c>
      <c r="B18" s="1" t="s">
        <v>70</v>
      </c>
      <c r="C18" s="1" t="s">
        <v>71</v>
      </c>
    </row>
    <row r="19" spans="1:4" x14ac:dyDescent="0.25">
      <c r="A19" s="6" t="s">
        <v>69</v>
      </c>
      <c r="B19" s="6" t="s">
        <v>73</v>
      </c>
      <c r="C19" s="6" t="s">
        <v>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workbookViewId="0">
      <selection activeCell="F22" sqref="F22"/>
    </sheetView>
  </sheetViews>
  <sheetFormatPr defaultRowHeight="15" x14ac:dyDescent="0.25"/>
  <cols>
    <col min="1" max="1" width="8" style="10" bestFit="1" customWidth="1"/>
    <col min="2" max="2" width="27.7109375" style="9" bestFit="1" customWidth="1"/>
    <col min="3" max="3" width="15.42578125" style="9" bestFit="1" customWidth="1"/>
    <col min="4" max="4" width="6.28515625" style="10" bestFit="1" customWidth="1"/>
    <col min="5" max="5" width="9.5703125" style="10" bestFit="1" customWidth="1"/>
    <col min="6" max="16384" width="9.140625" style="9"/>
  </cols>
  <sheetData>
    <row r="1" spans="1:5" x14ac:dyDescent="0.25">
      <c r="A1" s="7" t="s">
        <v>93</v>
      </c>
      <c r="B1" s="8" t="s">
        <v>94</v>
      </c>
      <c r="C1" s="8" t="s">
        <v>95</v>
      </c>
      <c r="D1" s="7" t="s">
        <v>96</v>
      </c>
      <c r="E1" s="7" t="s">
        <v>97</v>
      </c>
    </row>
    <row r="2" spans="1:5" x14ac:dyDescent="0.25">
      <c r="A2" s="58" t="s">
        <v>98</v>
      </c>
      <c r="B2" s="8" t="s">
        <v>189</v>
      </c>
      <c r="C2" s="8" t="s">
        <v>99</v>
      </c>
      <c r="D2" s="7" t="s">
        <v>100</v>
      </c>
      <c r="E2" s="59">
        <v>0.60416666666666663</v>
      </c>
    </row>
    <row r="3" spans="1:5" x14ac:dyDescent="0.25">
      <c r="A3" s="58" t="s">
        <v>101</v>
      </c>
      <c r="B3" s="8" t="s">
        <v>189</v>
      </c>
      <c r="C3" s="8" t="s">
        <v>99</v>
      </c>
      <c r="D3" s="7" t="s">
        <v>102</v>
      </c>
      <c r="E3" s="7" t="s">
        <v>103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3"/>
  <sheetViews>
    <sheetView workbookViewId="0">
      <selection activeCell="B19" sqref="B19"/>
    </sheetView>
  </sheetViews>
  <sheetFormatPr defaultRowHeight="15" x14ac:dyDescent="0.25"/>
  <cols>
    <col min="1" max="1" width="23.5703125" bestFit="1" customWidth="1"/>
    <col min="2" max="2" width="6.140625" style="11" bestFit="1" customWidth="1"/>
    <col min="3" max="3" width="25.28515625" style="11" customWidth="1"/>
    <col min="4" max="4" width="25.28515625" customWidth="1"/>
    <col min="5" max="5" width="46.5703125" style="12" bestFit="1" customWidth="1"/>
    <col min="6" max="6" width="6.140625" style="11" bestFit="1" customWidth="1"/>
    <col min="7" max="7" width="6.140625" style="11" customWidth="1"/>
    <col min="8" max="8" width="9.140625" style="16"/>
  </cols>
  <sheetData>
    <row r="1" spans="1:8" x14ac:dyDescent="0.25">
      <c r="A1" t="s">
        <v>104</v>
      </c>
      <c r="B1" s="11" t="s">
        <v>105</v>
      </c>
      <c r="C1" s="11" t="s">
        <v>106</v>
      </c>
      <c r="E1" s="12" t="s">
        <v>107</v>
      </c>
      <c r="F1" s="11" t="s">
        <v>108</v>
      </c>
      <c r="G1" s="11" t="s">
        <v>109</v>
      </c>
      <c r="H1" s="11" t="s">
        <v>110</v>
      </c>
    </row>
    <row r="2" spans="1:8" x14ac:dyDescent="0.25">
      <c r="A2" t="s">
        <v>111</v>
      </c>
      <c r="B2" s="13">
        <f>F2+F3</f>
        <v>2</v>
      </c>
      <c r="C2" s="13">
        <f>H2+H3</f>
        <v>140</v>
      </c>
      <c r="E2" s="12" t="s">
        <v>194</v>
      </c>
      <c r="F2" s="13">
        <v>1</v>
      </c>
      <c r="G2" s="13">
        <v>100</v>
      </c>
      <c r="H2" s="14">
        <f>F2*G2</f>
        <v>100</v>
      </c>
    </row>
    <row r="3" spans="1:8" x14ac:dyDescent="0.25">
      <c r="A3" t="s">
        <v>196</v>
      </c>
      <c r="B3" s="13">
        <f>F4</f>
        <v>10</v>
      </c>
      <c r="C3" s="13">
        <f>H4</f>
        <v>200</v>
      </c>
      <c r="E3" s="12" t="s">
        <v>112</v>
      </c>
      <c r="F3" s="13">
        <v>1</v>
      </c>
      <c r="G3" s="13">
        <v>40</v>
      </c>
      <c r="H3" s="14">
        <f>F3*G3</f>
        <v>40</v>
      </c>
    </row>
    <row r="4" spans="1:8" x14ac:dyDescent="0.25">
      <c r="A4" t="s">
        <v>113</v>
      </c>
      <c r="B4" s="13">
        <f>F5</f>
        <v>5</v>
      </c>
      <c r="C4" s="13">
        <f>H5</f>
        <v>250</v>
      </c>
      <c r="E4" s="12" t="s">
        <v>195</v>
      </c>
      <c r="F4" s="13">
        <v>10</v>
      </c>
      <c r="G4" s="13">
        <v>20</v>
      </c>
      <c r="H4" s="14">
        <f>F4*G4</f>
        <v>200</v>
      </c>
    </row>
    <row r="5" spans="1:8" x14ac:dyDescent="0.25">
      <c r="A5" t="s">
        <v>115</v>
      </c>
      <c r="B5" s="13">
        <f>SUM(F7:F10)</f>
        <v>4</v>
      </c>
      <c r="C5" s="13">
        <f>H6+H11+H12</f>
        <v>160</v>
      </c>
      <c r="E5" s="12" t="s">
        <v>0</v>
      </c>
      <c r="F5" s="13">
        <v>5</v>
      </c>
      <c r="G5" s="13">
        <v>50</v>
      </c>
      <c r="H5" s="14">
        <f>F5*G5</f>
        <v>250</v>
      </c>
    </row>
    <row r="6" spans="1:8" x14ac:dyDescent="0.25">
      <c r="A6" t="s">
        <v>122</v>
      </c>
      <c r="C6" s="13">
        <f>SUM(C2:C5)</f>
        <v>750</v>
      </c>
      <c r="E6" s="12" t="s">
        <v>190</v>
      </c>
      <c r="F6" s="13">
        <v>1</v>
      </c>
      <c r="G6" s="13">
        <v>80</v>
      </c>
      <c r="H6" s="14">
        <f>F6*G6</f>
        <v>80</v>
      </c>
    </row>
    <row r="7" spans="1:8" x14ac:dyDescent="0.25">
      <c r="E7" s="15" t="s">
        <v>116</v>
      </c>
      <c r="F7" s="13">
        <v>1</v>
      </c>
      <c r="G7" s="13"/>
      <c r="H7" s="14"/>
    </row>
    <row r="8" spans="1:8" x14ac:dyDescent="0.25">
      <c r="E8" s="15" t="s">
        <v>117</v>
      </c>
      <c r="F8" s="13">
        <v>1</v>
      </c>
      <c r="G8" s="13"/>
      <c r="H8" s="14"/>
    </row>
    <row r="9" spans="1:8" x14ac:dyDescent="0.25">
      <c r="E9" s="15" t="s">
        <v>118</v>
      </c>
      <c r="F9" s="13">
        <v>1</v>
      </c>
      <c r="G9" s="13"/>
      <c r="H9" s="14"/>
    </row>
    <row r="10" spans="1:8" x14ac:dyDescent="0.25">
      <c r="E10" s="15" t="s">
        <v>119</v>
      </c>
      <c r="F10" s="13">
        <v>1</v>
      </c>
      <c r="G10" s="13"/>
      <c r="H10" s="14"/>
    </row>
    <row r="11" spans="1:8" x14ac:dyDescent="0.25">
      <c r="E11" t="s">
        <v>120</v>
      </c>
      <c r="F11" s="13">
        <v>1</v>
      </c>
      <c r="G11" s="13">
        <v>40</v>
      </c>
      <c r="H11" s="14">
        <f>F11*G11</f>
        <v>40</v>
      </c>
    </row>
    <row r="12" spans="1:8" x14ac:dyDescent="0.25">
      <c r="E12" t="s">
        <v>121</v>
      </c>
      <c r="F12" s="13">
        <v>1</v>
      </c>
      <c r="G12" s="13">
        <v>40</v>
      </c>
      <c r="H12" s="14">
        <f>F12*G12</f>
        <v>40</v>
      </c>
    </row>
    <row r="13" spans="1:8" x14ac:dyDescent="0.25">
      <c r="E13" s="12" t="s">
        <v>122</v>
      </c>
      <c r="F13" s="13"/>
      <c r="G13" s="13"/>
      <c r="H13" s="13">
        <f>SUM(H2:H12)</f>
        <v>750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C18" sqref="C18"/>
    </sheetView>
  </sheetViews>
  <sheetFormatPr defaultRowHeight="15" x14ac:dyDescent="0.25"/>
  <cols>
    <col min="1" max="2" width="9.42578125" style="11" bestFit="1" customWidth="1"/>
    <col min="3" max="3" width="11.140625" style="11" bestFit="1" customWidth="1"/>
  </cols>
  <sheetData>
    <row r="1" spans="1:3" x14ac:dyDescent="0.25">
      <c r="A1" s="17" t="s">
        <v>98</v>
      </c>
      <c r="B1" s="17" t="s">
        <v>123</v>
      </c>
      <c r="C1" s="17" t="s">
        <v>124</v>
      </c>
    </row>
    <row r="2" spans="1:3" x14ac:dyDescent="0.25">
      <c r="A2" s="18">
        <v>45678</v>
      </c>
      <c r="B2" s="18">
        <v>45680</v>
      </c>
      <c r="C2" s="18">
        <v>45679</v>
      </c>
    </row>
    <row r="3" spans="1:3" x14ac:dyDescent="0.25">
      <c r="A3" s="18">
        <f>A2+1</f>
        <v>45679</v>
      </c>
      <c r="B3" s="18">
        <f t="shared" ref="B3:C8" si="0">B2+1</f>
        <v>45681</v>
      </c>
      <c r="C3" s="18">
        <f t="shared" si="0"/>
        <v>45680</v>
      </c>
    </row>
    <row r="4" spans="1:3" x14ac:dyDescent="0.25">
      <c r="A4" s="18">
        <f t="shared" ref="A4:A8" si="1">A3+1</f>
        <v>45680</v>
      </c>
      <c r="B4" s="18">
        <f t="shared" si="0"/>
        <v>45682</v>
      </c>
      <c r="C4" s="18">
        <f t="shared" si="0"/>
        <v>45681</v>
      </c>
    </row>
    <row r="5" spans="1:3" x14ac:dyDescent="0.25">
      <c r="A5" s="18">
        <f t="shared" si="1"/>
        <v>45681</v>
      </c>
      <c r="B5" s="18">
        <f t="shared" si="0"/>
        <v>45683</v>
      </c>
      <c r="C5" s="18">
        <f t="shared" si="0"/>
        <v>45682</v>
      </c>
    </row>
    <row r="6" spans="1:3" x14ac:dyDescent="0.25">
      <c r="A6" s="18">
        <f t="shared" si="1"/>
        <v>45682</v>
      </c>
      <c r="B6" s="18">
        <f t="shared" si="0"/>
        <v>45684</v>
      </c>
      <c r="C6" s="18">
        <f t="shared" si="0"/>
        <v>45683</v>
      </c>
    </row>
    <row r="7" spans="1:3" x14ac:dyDescent="0.25">
      <c r="A7" s="18">
        <f t="shared" si="1"/>
        <v>45683</v>
      </c>
      <c r="B7" s="18">
        <f t="shared" si="0"/>
        <v>45685</v>
      </c>
      <c r="C7" s="18">
        <f t="shared" si="0"/>
        <v>45684</v>
      </c>
    </row>
    <row r="8" spans="1:3" x14ac:dyDescent="0.25">
      <c r="A8" s="18">
        <f t="shared" si="1"/>
        <v>45684</v>
      </c>
      <c r="B8" s="18">
        <f t="shared" si="0"/>
        <v>45686</v>
      </c>
      <c r="C8" s="18">
        <f t="shared" si="0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J33" sqref="J33"/>
    </sheetView>
  </sheetViews>
  <sheetFormatPr defaultRowHeight="13.5" x14ac:dyDescent="0.25"/>
  <cols>
    <col min="1" max="1" width="11.140625" style="24" bestFit="1" customWidth="1"/>
    <col min="2" max="2" width="10.28515625" style="24" bestFit="1" customWidth="1"/>
    <col min="3" max="3" width="10.140625" style="24" bestFit="1" customWidth="1"/>
    <col min="4" max="4" width="15.7109375" style="24" bestFit="1" customWidth="1"/>
    <col min="5" max="5" width="8.7109375" style="24" bestFit="1" customWidth="1"/>
    <col min="6" max="6" width="7.5703125" style="24" bestFit="1" customWidth="1"/>
    <col min="7" max="7" width="10.5703125" style="24" bestFit="1" customWidth="1"/>
    <col min="8" max="12" width="11.5703125" style="24" bestFit="1" customWidth="1"/>
    <col min="13" max="13" width="10.7109375" style="24" bestFit="1" customWidth="1"/>
    <col min="14" max="16" width="11.7109375" style="24" bestFit="1" customWidth="1"/>
    <col min="17" max="18" width="10.85546875" style="24" bestFit="1" customWidth="1"/>
    <col min="19" max="19" width="11.85546875" style="24" bestFit="1" customWidth="1"/>
    <col min="20" max="20" width="6.28515625" style="24" bestFit="1" customWidth="1"/>
    <col min="21" max="16384" width="9.140625" style="24"/>
  </cols>
  <sheetData>
    <row r="1" spans="1:20" s="19" customFormat="1" x14ac:dyDescent="0.25">
      <c r="A1" s="19" t="s">
        <v>125</v>
      </c>
      <c r="B1" s="20" t="s">
        <v>126</v>
      </c>
      <c r="C1" s="20" t="s">
        <v>127</v>
      </c>
      <c r="D1" s="19" t="s">
        <v>128</v>
      </c>
      <c r="E1" s="19" t="s">
        <v>129</v>
      </c>
      <c r="F1" s="19" t="s">
        <v>97</v>
      </c>
      <c r="G1" s="21" t="s">
        <v>130</v>
      </c>
      <c r="H1" s="22" t="s">
        <v>131</v>
      </c>
      <c r="I1" s="22" t="s">
        <v>132</v>
      </c>
      <c r="J1" s="22" t="s">
        <v>133</v>
      </c>
      <c r="K1" s="22" t="s">
        <v>134</v>
      </c>
      <c r="L1" s="22" t="s">
        <v>135</v>
      </c>
      <c r="M1" s="22" t="s">
        <v>136</v>
      </c>
      <c r="N1" s="22" t="s">
        <v>137</v>
      </c>
      <c r="O1" s="22" t="s">
        <v>138</v>
      </c>
      <c r="P1" s="22" t="s">
        <v>139</v>
      </c>
      <c r="Q1" s="22" t="s">
        <v>140</v>
      </c>
      <c r="R1" s="22" t="s">
        <v>141</v>
      </c>
      <c r="S1" s="22" t="s">
        <v>142</v>
      </c>
      <c r="T1" s="23" t="s">
        <v>143</v>
      </c>
    </row>
    <row r="2" spans="1:20" x14ac:dyDescent="0.25">
      <c r="A2" s="24" t="s">
        <v>144</v>
      </c>
      <c r="B2" s="24" t="s">
        <v>145</v>
      </c>
      <c r="C2" s="24" t="s">
        <v>146</v>
      </c>
      <c r="D2" s="25" t="s">
        <v>147</v>
      </c>
      <c r="E2" s="26" t="s">
        <v>148</v>
      </c>
      <c r="F2" s="27">
        <v>0.60416666666666663</v>
      </c>
      <c r="G2" s="28">
        <v>45908</v>
      </c>
      <c r="H2" s="28">
        <f>G2+7</f>
        <v>45915</v>
      </c>
      <c r="I2" s="28">
        <f t="shared" ref="I2:J3" si="0">H2+7</f>
        <v>45922</v>
      </c>
      <c r="J2" s="28">
        <f t="shared" si="0"/>
        <v>45929</v>
      </c>
      <c r="K2" s="28">
        <f>J2+14</f>
        <v>45943</v>
      </c>
      <c r="L2" s="28">
        <f>K2+7</f>
        <v>45950</v>
      </c>
      <c r="M2" s="28">
        <f>L2+14</f>
        <v>45964</v>
      </c>
      <c r="N2" s="28">
        <f t="shared" ref="N2:S2" si="1">M2+7</f>
        <v>45971</v>
      </c>
      <c r="O2" s="28">
        <f t="shared" si="1"/>
        <v>45978</v>
      </c>
      <c r="P2" s="28">
        <f t="shared" si="1"/>
        <v>45985</v>
      </c>
      <c r="Q2" s="28">
        <f t="shared" si="1"/>
        <v>45992</v>
      </c>
      <c r="R2" s="28">
        <f t="shared" si="1"/>
        <v>45999</v>
      </c>
      <c r="S2" s="28">
        <f t="shared" si="1"/>
        <v>46006</v>
      </c>
    </row>
    <row r="3" spans="1:20" x14ac:dyDescent="0.25">
      <c r="A3" s="24" t="s">
        <v>149</v>
      </c>
      <c r="B3" s="24" t="s">
        <v>145</v>
      </c>
      <c r="C3" s="24" t="s">
        <v>146</v>
      </c>
      <c r="D3" s="25" t="s">
        <v>147</v>
      </c>
      <c r="E3" s="26" t="s">
        <v>150</v>
      </c>
      <c r="F3" s="29">
        <v>0.79166666666666663</v>
      </c>
      <c r="G3" s="28">
        <v>45902</v>
      </c>
      <c r="H3" s="28">
        <f>G3+7</f>
        <v>45909</v>
      </c>
      <c r="I3" s="28">
        <f t="shared" si="0"/>
        <v>45916</v>
      </c>
      <c r="J3" s="28">
        <f t="shared" si="0"/>
        <v>45923</v>
      </c>
      <c r="K3" s="28">
        <f>J3+14</f>
        <v>45937</v>
      </c>
      <c r="L3" s="28">
        <f>K3+7</f>
        <v>45944</v>
      </c>
      <c r="M3" s="28"/>
      <c r="N3" s="28"/>
      <c r="O3" s="28"/>
      <c r="P3" s="28"/>
      <c r="Q3" s="28"/>
      <c r="R3" s="28"/>
      <c r="S3" s="28"/>
      <c r="T3" s="28"/>
    </row>
    <row r="4" spans="1:20" x14ac:dyDescent="0.25">
      <c r="B4" s="26"/>
      <c r="C4" s="26"/>
      <c r="D4" s="25"/>
      <c r="E4" s="26"/>
    </row>
    <row r="5" spans="1:20" x14ac:dyDescent="0.25">
      <c r="B5" s="26"/>
      <c r="C5" s="26"/>
      <c r="D5" s="25"/>
      <c r="E5" s="26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F26" sqref="F26"/>
    </sheetView>
  </sheetViews>
  <sheetFormatPr defaultRowHeight="12" x14ac:dyDescent="0.25"/>
  <cols>
    <col min="1" max="1" width="9.5703125" style="35" bestFit="1" customWidth="1"/>
    <col min="2" max="2" width="14.28515625" style="35" bestFit="1" customWidth="1"/>
    <col min="3" max="3" width="9.7109375" style="35" bestFit="1" customWidth="1"/>
    <col min="4" max="4" width="6.28515625" style="49" bestFit="1" customWidth="1"/>
    <col min="5" max="5" width="7.140625" style="49" bestFit="1" customWidth="1"/>
    <col min="6" max="6" width="10" style="49" bestFit="1" customWidth="1"/>
    <col min="7" max="7" width="6.28515625" style="49" bestFit="1" customWidth="1"/>
    <col min="8" max="8" width="7.140625" style="49" bestFit="1" customWidth="1"/>
    <col min="9" max="9" width="6.28515625" style="49" bestFit="1" customWidth="1"/>
    <col min="10" max="10" width="10" style="49" bestFit="1" customWidth="1"/>
    <col min="11" max="11" width="7.140625" style="49" bestFit="1" customWidth="1"/>
    <col min="12" max="12" width="6.28515625" style="49" bestFit="1" customWidth="1"/>
    <col min="13" max="13" width="13.42578125" style="49" bestFit="1" customWidth="1"/>
    <col min="14" max="14" width="10" style="49" bestFit="1" customWidth="1"/>
    <col min="15" max="16" width="10.5703125" style="49" bestFit="1" customWidth="1"/>
    <col min="17" max="17" width="6.28515625" style="49" bestFit="1" customWidth="1"/>
    <col min="18" max="16384" width="9.140625" style="35"/>
  </cols>
  <sheetData>
    <row r="1" spans="1:17" s="33" customFormat="1" x14ac:dyDescent="0.25">
      <c r="A1" s="30" t="s">
        <v>151</v>
      </c>
      <c r="B1" s="31" t="s">
        <v>152</v>
      </c>
      <c r="C1" s="32" t="s">
        <v>129</v>
      </c>
      <c r="D1" s="22" t="s">
        <v>153</v>
      </c>
      <c r="E1" s="22" t="s">
        <v>154</v>
      </c>
      <c r="F1" s="22" t="s">
        <v>155</v>
      </c>
      <c r="G1" s="22" t="s">
        <v>156</v>
      </c>
      <c r="H1" s="22" t="s">
        <v>157</v>
      </c>
      <c r="I1" s="22" t="s">
        <v>158</v>
      </c>
      <c r="J1" s="22" t="s">
        <v>159</v>
      </c>
      <c r="K1" s="22" t="s">
        <v>160</v>
      </c>
      <c r="L1" s="22" t="s">
        <v>161</v>
      </c>
      <c r="M1" s="22" t="s">
        <v>162</v>
      </c>
      <c r="N1" s="22" t="s">
        <v>163</v>
      </c>
      <c r="O1" s="22" t="s">
        <v>164</v>
      </c>
      <c r="P1" s="22" t="s">
        <v>165</v>
      </c>
      <c r="Q1" s="23" t="s">
        <v>166</v>
      </c>
    </row>
    <row r="2" spans="1:17" x14ac:dyDescent="0.25">
      <c r="A2" s="34" t="s">
        <v>98</v>
      </c>
      <c r="B2" s="35" t="s">
        <v>114</v>
      </c>
      <c r="C2" s="36" t="s">
        <v>150</v>
      </c>
      <c r="D2" s="37" t="s">
        <v>167</v>
      </c>
      <c r="E2" s="37" t="s">
        <v>168</v>
      </c>
      <c r="F2" s="37" t="s">
        <v>169</v>
      </c>
      <c r="G2" s="37" t="s">
        <v>170</v>
      </c>
      <c r="H2" s="37"/>
      <c r="I2" s="37" t="s">
        <v>171</v>
      </c>
      <c r="J2" s="37" t="s">
        <v>172</v>
      </c>
      <c r="K2" s="37" t="s">
        <v>173</v>
      </c>
      <c r="L2" s="37"/>
      <c r="M2" s="37" t="s">
        <v>174</v>
      </c>
      <c r="N2" s="37"/>
      <c r="O2" s="37"/>
      <c r="P2" s="37"/>
      <c r="Q2" s="38"/>
    </row>
    <row r="3" spans="1:17" x14ac:dyDescent="0.25">
      <c r="A3" s="34" t="s">
        <v>123</v>
      </c>
      <c r="B3" s="35" t="s">
        <v>114</v>
      </c>
      <c r="C3" s="36" t="s">
        <v>175</v>
      </c>
      <c r="D3" s="39" t="s">
        <v>167</v>
      </c>
      <c r="E3" s="39" t="s">
        <v>168</v>
      </c>
      <c r="F3" s="39" t="s">
        <v>169</v>
      </c>
      <c r="G3" s="39" t="s">
        <v>170</v>
      </c>
      <c r="H3" s="39"/>
      <c r="I3" s="39" t="s">
        <v>171</v>
      </c>
      <c r="J3" s="39" t="s">
        <v>172</v>
      </c>
      <c r="K3" s="39" t="s">
        <v>173</v>
      </c>
      <c r="L3" s="39"/>
      <c r="M3" s="39" t="s">
        <v>174</v>
      </c>
      <c r="N3" s="39"/>
      <c r="O3" s="39"/>
      <c r="P3" s="39"/>
      <c r="Q3" s="40"/>
    </row>
    <row r="4" spans="1:17" x14ac:dyDescent="0.25">
      <c r="A4" s="34" t="s">
        <v>124</v>
      </c>
      <c r="B4" s="35" t="s">
        <v>114</v>
      </c>
      <c r="C4" s="36" t="s">
        <v>176</v>
      </c>
      <c r="D4" s="39" t="s">
        <v>167</v>
      </c>
      <c r="E4" s="39" t="s">
        <v>168</v>
      </c>
      <c r="F4" s="39" t="s">
        <v>169</v>
      </c>
      <c r="G4" s="39" t="s">
        <v>170</v>
      </c>
      <c r="H4" s="39"/>
      <c r="I4" s="39" t="s">
        <v>171</v>
      </c>
      <c r="J4" s="39" t="s">
        <v>172</v>
      </c>
      <c r="K4" s="39" t="s">
        <v>173</v>
      </c>
      <c r="L4" s="39"/>
      <c r="M4" s="39" t="s">
        <v>174</v>
      </c>
      <c r="N4" s="39"/>
      <c r="O4" s="39"/>
      <c r="P4" s="39"/>
      <c r="Q4" s="40"/>
    </row>
    <row r="5" spans="1:17" x14ac:dyDescent="0.25">
      <c r="A5" s="41" t="s">
        <v>177</v>
      </c>
      <c r="B5" s="42" t="s">
        <v>114</v>
      </c>
      <c r="C5" s="43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5"/>
    </row>
    <row r="6" spans="1:17" x14ac:dyDescent="0.25">
      <c r="A6" s="46" t="s">
        <v>98</v>
      </c>
      <c r="B6" s="47" t="s">
        <v>178</v>
      </c>
      <c r="C6" s="48" t="s">
        <v>150</v>
      </c>
      <c r="D6" s="37"/>
      <c r="E6" s="37"/>
      <c r="G6" s="37" t="s">
        <v>179</v>
      </c>
      <c r="H6" s="37"/>
      <c r="I6" s="37"/>
      <c r="K6" s="37" t="s">
        <v>180</v>
      </c>
      <c r="L6" s="50"/>
      <c r="M6" s="37"/>
      <c r="N6" s="37" t="s">
        <v>181</v>
      </c>
      <c r="P6" s="51"/>
      <c r="Q6" s="52"/>
    </row>
    <row r="7" spans="1:17" x14ac:dyDescent="0.25">
      <c r="A7" s="34" t="s">
        <v>123</v>
      </c>
      <c r="B7" s="35" t="s">
        <v>178</v>
      </c>
      <c r="C7" s="36" t="s">
        <v>175</v>
      </c>
      <c r="D7" s="39"/>
      <c r="E7" s="39"/>
      <c r="G7" s="39" t="s">
        <v>179</v>
      </c>
      <c r="H7" s="39"/>
      <c r="I7" s="39"/>
      <c r="K7" s="39" t="s">
        <v>180</v>
      </c>
      <c r="M7" s="39"/>
      <c r="N7" s="39" t="s">
        <v>181</v>
      </c>
      <c r="P7" s="53"/>
      <c r="Q7" s="54"/>
    </row>
    <row r="8" spans="1:17" x14ac:dyDescent="0.25">
      <c r="A8" s="34" t="s">
        <v>124</v>
      </c>
      <c r="B8" s="35" t="s">
        <v>178</v>
      </c>
      <c r="C8" s="36" t="s">
        <v>176</v>
      </c>
      <c r="D8" s="39"/>
      <c r="E8" s="39"/>
      <c r="G8" s="39" t="s">
        <v>179</v>
      </c>
      <c r="H8" s="39"/>
      <c r="I8" s="39"/>
      <c r="K8" s="39" t="s">
        <v>180</v>
      </c>
      <c r="M8" s="39"/>
      <c r="N8" s="39" t="s">
        <v>181</v>
      </c>
      <c r="P8" s="53"/>
      <c r="Q8" s="54"/>
    </row>
    <row r="9" spans="1:17" x14ac:dyDescent="0.25">
      <c r="A9" s="41" t="s">
        <v>177</v>
      </c>
      <c r="B9" s="42" t="s">
        <v>178</v>
      </c>
      <c r="C9" s="43"/>
      <c r="D9" s="44"/>
      <c r="E9" s="44"/>
      <c r="F9" s="44"/>
      <c r="G9" s="44"/>
      <c r="H9" s="55"/>
      <c r="I9" s="44"/>
      <c r="J9" s="44"/>
      <c r="K9" s="44"/>
      <c r="L9" s="44"/>
      <c r="M9" s="44"/>
      <c r="N9" s="44"/>
      <c r="O9" s="56"/>
      <c r="P9" s="56"/>
      <c r="Q9" s="57"/>
    </row>
    <row r="10" spans="1:17" x14ac:dyDescent="0.25">
      <c r="A10" s="46" t="s">
        <v>98</v>
      </c>
      <c r="B10" s="47" t="s">
        <v>6</v>
      </c>
      <c r="C10" s="48" t="s">
        <v>150</v>
      </c>
      <c r="D10" s="37"/>
      <c r="E10" s="37" t="s">
        <v>182</v>
      </c>
      <c r="F10" s="37"/>
      <c r="G10" s="37"/>
      <c r="H10" s="37" t="s">
        <v>183</v>
      </c>
      <c r="I10" s="37"/>
      <c r="J10" s="37"/>
      <c r="K10" s="37" t="s">
        <v>184</v>
      </c>
      <c r="L10" s="37"/>
      <c r="M10" s="37"/>
      <c r="N10" s="37" t="s">
        <v>185</v>
      </c>
      <c r="O10" s="37" t="s">
        <v>186</v>
      </c>
      <c r="P10" s="37" t="s">
        <v>186</v>
      </c>
      <c r="Q10" s="38"/>
    </row>
    <row r="11" spans="1:17" x14ac:dyDescent="0.25">
      <c r="A11" s="34" t="s">
        <v>123</v>
      </c>
      <c r="B11" s="35" t="s">
        <v>6</v>
      </c>
      <c r="C11" s="36" t="s">
        <v>175</v>
      </c>
      <c r="D11" s="39"/>
      <c r="E11" s="39" t="s">
        <v>182</v>
      </c>
      <c r="F11" s="39"/>
      <c r="G11" s="39"/>
      <c r="H11" s="39" t="s">
        <v>183</v>
      </c>
      <c r="I11" s="39"/>
      <c r="J11" s="39"/>
      <c r="K11" s="39" t="s">
        <v>184</v>
      </c>
      <c r="L11" s="39"/>
      <c r="M11" s="39"/>
      <c r="N11" s="39" t="s">
        <v>185</v>
      </c>
      <c r="O11" s="39" t="s">
        <v>186</v>
      </c>
      <c r="P11" s="39" t="s">
        <v>186</v>
      </c>
      <c r="Q11" s="40"/>
    </row>
    <row r="12" spans="1:17" x14ac:dyDescent="0.25">
      <c r="A12" s="34" t="s">
        <v>124</v>
      </c>
      <c r="B12" s="35" t="s">
        <v>6</v>
      </c>
      <c r="C12" s="36" t="s">
        <v>176</v>
      </c>
      <c r="D12" s="39"/>
      <c r="E12" s="39" t="s">
        <v>182</v>
      </c>
      <c r="F12" s="39"/>
      <c r="G12" s="39"/>
      <c r="H12" s="39" t="s">
        <v>183</v>
      </c>
      <c r="I12" s="39"/>
      <c r="J12" s="39"/>
      <c r="K12" s="39" t="s">
        <v>184</v>
      </c>
      <c r="L12" s="39"/>
      <c r="M12" s="39"/>
      <c r="N12" s="39" t="s">
        <v>185</v>
      </c>
      <c r="O12" s="39" t="s">
        <v>186</v>
      </c>
      <c r="P12" s="39" t="s">
        <v>186</v>
      </c>
      <c r="Q12" s="40"/>
    </row>
    <row r="13" spans="1:17" x14ac:dyDescent="0.25">
      <c r="A13" s="41" t="s">
        <v>177</v>
      </c>
      <c r="B13" s="42" t="s">
        <v>6</v>
      </c>
      <c r="C13" s="43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5"/>
    </row>
    <row r="14" spans="1:17" x14ac:dyDescent="0.25">
      <c r="A14" s="46" t="s">
        <v>98</v>
      </c>
      <c r="B14" s="47" t="s">
        <v>187</v>
      </c>
      <c r="C14" s="48" t="s">
        <v>150</v>
      </c>
      <c r="D14" s="37"/>
      <c r="E14" s="37"/>
      <c r="F14" s="37"/>
      <c r="G14" s="37"/>
      <c r="H14" s="37"/>
      <c r="I14" s="37"/>
      <c r="J14" s="37"/>
      <c r="K14" s="50"/>
      <c r="L14" s="37"/>
      <c r="M14" s="37" t="s">
        <v>162</v>
      </c>
      <c r="N14" s="37"/>
      <c r="O14" s="37"/>
      <c r="P14" s="37"/>
      <c r="Q14" s="38"/>
    </row>
    <row r="15" spans="1:17" x14ac:dyDescent="0.25">
      <c r="A15" s="34" t="s">
        <v>123</v>
      </c>
      <c r="B15" s="35" t="s">
        <v>187</v>
      </c>
      <c r="C15" s="36" t="s">
        <v>175</v>
      </c>
      <c r="D15" s="39"/>
      <c r="E15" s="39"/>
      <c r="F15" s="39"/>
      <c r="G15" s="39"/>
      <c r="H15" s="39"/>
      <c r="I15" s="39"/>
      <c r="J15" s="39"/>
      <c r="L15" s="39"/>
      <c r="M15" s="39" t="s">
        <v>162</v>
      </c>
      <c r="N15" s="39"/>
      <c r="O15" s="39"/>
      <c r="P15" s="39"/>
      <c r="Q15" s="40"/>
    </row>
    <row r="16" spans="1:17" x14ac:dyDescent="0.25">
      <c r="A16" s="34" t="s">
        <v>124</v>
      </c>
      <c r="B16" s="35" t="s">
        <v>187</v>
      </c>
      <c r="C16" s="36" t="s">
        <v>176</v>
      </c>
      <c r="D16" s="39"/>
      <c r="E16" s="39"/>
      <c r="F16" s="39"/>
      <c r="G16" s="39"/>
      <c r="H16" s="39"/>
      <c r="I16" s="39"/>
      <c r="J16" s="39"/>
      <c r="L16" s="39"/>
      <c r="M16" s="39" t="s">
        <v>162</v>
      </c>
      <c r="N16" s="39"/>
      <c r="O16" s="39"/>
      <c r="P16" s="39"/>
      <c r="Q16" s="40"/>
    </row>
    <row r="17" spans="1:17" x14ac:dyDescent="0.25">
      <c r="A17" s="41" t="s">
        <v>177</v>
      </c>
      <c r="B17" s="42" t="s">
        <v>187</v>
      </c>
      <c r="C17" s="43"/>
      <c r="D17" s="44"/>
      <c r="E17" s="44"/>
      <c r="F17" s="44"/>
      <c r="G17" s="44"/>
      <c r="H17" s="44"/>
      <c r="I17" s="44"/>
      <c r="J17" s="44"/>
      <c r="K17" s="44"/>
      <c r="L17" s="44"/>
      <c r="M17" s="44" t="s">
        <v>162</v>
      </c>
      <c r="N17" s="44"/>
      <c r="O17" s="44"/>
      <c r="P17" s="44"/>
      <c r="Q17" s="45"/>
    </row>
    <row r="18" spans="1:17" x14ac:dyDescent="0.25">
      <c r="A18" s="34" t="s">
        <v>98</v>
      </c>
      <c r="B18" s="35" t="s">
        <v>188</v>
      </c>
      <c r="C18" s="36" t="s">
        <v>150</v>
      </c>
      <c r="D18" s="39"/>
      <c r="F18" s="39"/>
      <c r="G18" s="39"/>
      <c r="H18" s="39"/>
      <c r="I18" s="39"/>
      <c r="J18" s="39"/>
      <c r="K18" s="39"/>
      <c r="L18" s="39"/>
      <c r="M18" s="39" t="s">
        <v>162</v>
      </c>
      <c r="N18" s="39"/>
      <c r="O18" s="39"/>
      <c r="P18" s="39"/>
      <c r="Q18" s="40"/>
    </row>
    <row r="19" spans="1:17" x14ac:dyDescent="0.25">
      <c r="A19" s="34" t="s">
        <v>123</v>
      </c>
      <c r="B19" s="35" t="s">
        <v>188</v>
      </c>
      <c r="C19" s="36" t="s">
        <v>175</v>
      </c>
      <c r="D19" s="39"/>
      <c r="F19" s="39"/>
      <c r="G19" s="39"/>
      <c r="H19" s="39"/>
      <c r="I19" s="39"/>
      <c r="J19" s="39"/>
      <c r="K19" s="39"/>
      <c r="L19" s="39"/>
      <c r="M19" s="39" t="s">
        <v>162</v>
      </c>
      <c r="N19" s="39"/>
      <c r="O19" s="39"/>
      <c r="P19" s="39"/>
      <c r="Q19" s="40"/>
    </row>
    <row r="20" spans="1:17" x14ac:dyDescent="0.25">
      <c r="A20" s="34" t="s">
        <v>124</v>
      </c>
      <c r="B20" s="35" t="s">
        <v>188</v>
      </c>
      <c r="C20" s="36" t="s">
        <v>176</v>
      </c>
      <c r="D20" s="39"/>
      <c r="F20" s="39"/>
      <c r="G20" s="39"/>
      <c r="H20" s="39"/>
      <c r="I20" s="39"/>
      <c r="J20" s="39"/>
      <c r="K20" s="39"/>
      <c r="L20" s="39"/>
      <c r="M20" s="39" t="s">
        <v>162</v>
      </c>
      <c r="N20" s="39"/>
      <c r="O20" s="39"/>
      <c r="P20" s="39"/>
      <c r="Q20" s="40"/>
    </row>
    <row r="21" spans="1:17" x14ac:dyDescent="0.25">
      <c r="A21" s="41" t="s">
        <v>177</v>
      </c>
      <c r="B21" s="42" t="s">
        <v>188</v>
      </c>
      <c r="C21" s="43"/>
      <c r="D21" s="44"/>
      <c r="E21" s="44"/>
      <c r="F21" s="44"/>
      <c r="G21" s="44"/>
      <c r="H21" s="44"/>
      <c r="I21" s="44"/>
      <c r="J21" s="44"/>
      <c r="K21" s="44"/>
      <c r="L21" s="44"/>
      <c r="M21" s="44" t="s">
        <v>162</v>
      </c>
      <c r="N21" s="44"/>
      <c r="O21" s="44"/>
      <c r="P21" s="44"/>
      <c r="Q21" s="45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D27" sqref="D27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60" t="s">
        <v>191</v>
      </c>
      <c r="B1" s="60" t="s">
        <v>5</v>
      </c>
      <c r="C1" s="61" t="s">
        <v>94</v>
      </c>
      <c r="D1" s="61" t="s">
        <v>76</v>
      </c>
      <c r="E1" s="7" t="s">
        <v>192</v>
      </c>
      <c r="F1" s="7" t="s">
        <v>193</v>
      </c>
    </row>
    <row r="2" spans="1:6" x14ac:dyDescent="0.25">
      <c r="A2" s="3" t="s">
        <v>7</v>
      </c>
      <c r="B2" s="3" t="s">
        <v>8</v>
      </c>
      <c r="C2" s="3" t="s">
        <v>9</v>
      </c>
      <c r="D2" s="3" t="s">
        <v>10</v>
      </c>
      <c r="E2" s="3" t="s">
        <v>11</v>
      </c>
      <c r="F2" s="3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2" t="s">
        <v>69</v>
      </c>
      <c r="B19" s="2" t="s">
        <v>73</v>
      </c>
      <c r="C19" s="2" t="s">
        <v>74</v>
      </c>
      <c r="D19" s="2"/>
      <c r="E19" s="2" t="s">
        <v>75</v>
      </c>
      <c r="F1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Padalkar, Nakul R.</cp:lastModifiedBy>
  <dcterms:created xsi:type="dcterms:W3CDTF">2025-11-06T02:23:11Z</dcterms:created>
  <dcterms:modified xsi:type="dcterms:W3CDTF">2025-11-06T03:23:16Z</dcterms:modified>
</cp:coreProperties>
</file>